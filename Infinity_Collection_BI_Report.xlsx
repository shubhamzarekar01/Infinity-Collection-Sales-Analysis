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rofile" sheetId="1" state="visible" r:id="rId1"/>
    <sheet xmlns:r="http://schemas.openxmlformats.org/officeDocument/2006/relationships" name="2024 Sales Report" sheetId="2" state="visible" r:id="rId2"/>
    <sheet xmlns:r="http://schemas.openxmlformats.org/officeDocument/2006/relationships" name="2025 Sales Report" sheetId="3" state="visible" r:id="rId3"/>
    <sheet xmlns:r="http://schemas.openxmlformats.org/officeDocument/2006/relationships" name="YoY Comparison" sheetId="4" state="visible" r:id="rId4"/>
    <sheet xmlns:r="http://schemas.openxmlformats.org/officeDocument/2006/relationships" name="Customer Ledger" sheetId="5" state="visible" r:id="rId5"/>
    <sheet xmlns:r="http://schemas.openxmlformats.org/officeDocument/2006/relationships" name="Supplier Ledger" sheetId="6" state="visible" r:id="rId6"/>
    <sheet xmlns:r="http://schemas.openxmlformats.org/officeDocument/2006/relationships" name="Financi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1A2F5A"/>
      <sz val="10"/>
    </font>
    <font>
      <name val="Calibri"/>
      <color rgb="00000000"/>
      <sz val="10"/>
    </font>
    <font>
      <name val="Calibri"/>
      <b val="1"/>
      <color rgb="00FFFFFF"/>
      <sz val="20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1A4472"/>
      <sz val="10"/>
    </font>
    <font>
      <name val="Calibri"/>
      <color rgb="001E7145"/>
      <sz val="10"/>
    </font>
    <font>
      <name val="Calibri"/>
      <color rgb="001E7145"/>
      <sz val="9"/>
    </font>
    <font>
      <name val="Calibri"/>
      <color rgb="00C00000"/>
      <sz val="10"/>
    </font>
    <font>
      <name val="Calibri"/>
      <color rgb="00C00000"/>
      <sz val="9"/>
    </font>
    <font>
      <name val="Calibri"/>
      <b val="1"/>
      <color rgb="001A4472"/>
      <sz val="11"/>
    </font>
    <font>
      <name val="Calibri"/>
      <b val="1"/>
      <color rgb="00FFFFFF"/>
      <sz val="10"/>
    </font>
    <font>
      <name val="Calibri"/>
      <b val="1"/>
      <color rgb="00C9A84C"/>
      <sz val="12"/>
    </font>
    <font>
      <name val="Calibri"/>
      <i val="1"/>
      <color rgb="00C00000"/>
      <sz val="9"/>
    </font>
    <font>
      <name val="Calibri"/>
      <b val="1"/>
      <color rgb="00FFFFFF"/>
      <sz val="18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C00000"/>
      <sz val="10"/>
    </font>
    <font>
      <name val="Calibri"/>
      <b val="1"/>
      <color rgb="00FFFFFF"/>
      <sz val="13"/>
    </font>
    <font>
      <name val="Calibri"/>
      <b val="1"/>
      <color rgb="001E7145"/>
      <sz val="10"/>
    </font>
  </fonts>
  <fills count="12">
    <fill>
      <patternFill/>
    </fill>
    <fill>
      <patternFill patternType="gray125"/>
    </fill>
    <fill>
      <patternFill patternType="solid">
        <fgColor rgb="001A2F5A"/>
      </patternFill>
    </fill>
    <fill>
      <patternFill patternType="solid">
        <fgColor rgb="0000B4D8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C9A84C"/>
      </patternFill>
    </fill>
    <fill>
      <patternFill patternType="solid">
        <fgColor rgb="001E7145"/>
      </patternFill>
    </fill>
    <fill>
      <patternFill patternType="solid">
        <fgColor rgb="00E36209"/>
      </patternFill>
    </fill>
    <fill>
      <patternFill patternType="solid">
        <fgColor rgb="00FFF3CD"/>
      </patternFill>
    </fill>
    <fill>
      <patternFill patternType="solid">
        <fgColor rgb="00C00000"/>
      </patternFill>
    </fill>
    <fill>
      <patternFill patternType="solid">
        <fgColor rgb="005B2C8D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A2F5A"/>
      </left>
      <right style="medium">
        <color rgb="001A2F5A"/>
      </right>
      <top style="medium">
        <color rgb="001A2F5A"/>
      </top>
      <bottom style="medium">
        <color rgb="001A2F5A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1A2F5A"/>
      </top>
      <bottom/>
      <diagonal/>
    </border>
    <border>
      <left/>
      <right style="medium">
        <color rgb="001A2F5A"/>
      </right>
      <top style="medium">
        <color rgb="001A2F5A"/>
      </top>
      <bottom/>
      <diagonal/>
    </border>
    <border>
      <left/>
      <right style="medium">
        <color rgb="001A2F5A"/>
      </right>
      <top style="medium">
        <color rgb="001A2F5A"/>
      </top>
      <bottom style="medium">
        <color rgb="001A2F5A"/>
      </bottom>
      <diagonal/>
    </border>
    <border>
      <left/>
      <right/>
      <top style="medium">
        <color rgb="001A2F5A"/>
      </top>
      <bottom style="medium">
        <color rgb="001A2F5A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3" fontId="13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3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164" fontId="17" fillId="2" borderId="2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0" fillId="2" borderId="0" pivotButton="0" quotePrefix="0" xfId="0"/>
    <xf numFmtId="0" fontId="7" fillId="11" borderId="0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right" vertical="center"/>
    </xf>
    <xf numFmtId="0" fontId="23" fillId="5" borderId="1" applyAlignment="1" pivotButton="0" quotePrefix="0" xfId="0">
      <alignment horizontal="left" vertical="center"/>
    </xf>
    <xf numFmtId="3" fontId="23" fillId="5" borderId="1" applyAlignment="1" pivotButton="0" quotePrefix="0" xfId="0">
      <alignment horizontal="right" vertical="center"/>
    </xf>
    <xf numFmtId="0" fontId="22" fillId="8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3" fontId="3" fillId="10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1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3" fontId="2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2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vs Sell Monthly —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'2024 Sales Report'!C3</f>
            </strRef>
          </tx>
          <spPr>
            <a:solidFill xmlns:a="http://schemas.openxmlformats.org/drawingml/2006/main">
              <a:srgbClr val="1A2F5A"/>
            </a:solidFill>
            <a:ln xmlns:a="http://schemas.openxmlformats.org/drawingml/2006/main">
              <a:prstDash val="solid"/>
            </a:ln>
          </spPr>
          <cat>
            <numRef>
              <f>'2024 Sales Report'!$B$4:$B$15</f>
            </numRef>
          </cat>
          <val>
            <numRef>
              <f>'2024 Sales Report'!$C$4:$C$15</f>
            </numRef>
          </val>
        </ser>
        <ser>
          <idx val="1"/>
          <order val="1"/>
          <tx>
            <strRef>
              <f>'2024 Sales Report'!D3</f>
            </strRef>
          </tx>
          <spPr>
            <a:solidFill xmlns:a="http://schemas.openxmlformats.org/drawingml/2006/main">
              <a:srgbClr val="C9A84C"/>
            </a:solidFill>
            <a:ln xmlns:a="http://schemas.openxmlformats.org/drawingml/2006/main">
              <a:prstDash val="solid"/>
            </a:ln>
          </spPr>
          <cat>
            <numRef>
              <f>'2024 Sales Report'!$B$4:$B$15</f>
            </numRef>
          </cat>
          <val>
            <numRef>
              <f>'2024 Sales Report'!$D$4:$D$15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Sell−Collection Trend — 2024</a:t>
            </a:r>
          </a:p>
        </rich>
      </tx>
    </title>
    <plotArea>
      <lineChart>
        <grouping val="standard"/>
        <ser>
          <idx val="0"/>
          <order val="0"/>
          <tx>
            <strRef>
              <f>'2024 Sales Report'!E3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'2024 Sales Report'!$B$4:$B$15</f>
            </numRef>
          </cat>
          <val>
            <numRef>
              <f>'2024 Sales Report'!$E$4:$E$15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Difference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vs Sell Monthly —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'2025 Sales Report'!C3</f>
            </strRef>
          </tx>
          <spPr>
            <a:solidFill xmlns:a="http://schemas.openxmlformats.org/drawingml/2006/main">
              <a:srgbClr val="1A2F5A"/>
            </a:solidFill>
            <a:ln xmlns:a="http://schemas.openxmlformats.org/drawingml/2006/main">
              <a:prstDash val="solid"/>
            </a:ln>
          </spPr>
          <cat>
            <numRef>
              <f>'2025 Sales Report'!$B$4:$B$15</f>
            </numRef>
          </cat>
          <val>
            <numRef>
              <f>'2025 Sales Report'!$C$4:$C$15</f>
            </numRef>
          </val>
        </ser>
        <ser>
          <idx val="1"/>
          <order val="1"/>
          <tx>
            <strRef>
              <f>'2025 Sales Report'!D3</f>
            </strRef>
          </tx>
          <spPr>
            <a:solidFill xmlns:a="http://schemas.openxmlformats.org/drawingml/2006/main">
              <a:srgbClr val="C9A84C"/>
            </a:solidFill>
            <a:ln xmlns:a="http://schemas.openxmlformats.org/drawingml/2006/main">
              <a:prstDash val="solid"/>
            </a:ln>
          </spPr>
          <cat>
            <numRef>
              <f>'2025 Sales Report'!$B$4:$B$15</f>
            </numRef>
          </cat>
          <val>
            <numRef>
              <f>'2025 Sales Report'!$D$4:$D$15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Sell−Collection Trend — 2025</a:t>
            </a:r>
          </a:p>
        </rich>
      </tx>
    </title>
    <plotArea>
      <lineChart>
        <grouping val="standard"/>
        <ser>
          <idx val="0"/>
          <order val="0"/>
          <tx>
            <strRef>
              <f>'2025 Sales Report'!E3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'2025 Sales Report'!$B$4:$B$15</f>
            </numRef>
          </cat>
          <val>
            <numRef>
              <f>'2025 Sales Report'!$E$4:$E$15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Difference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vs 2025 — Collection &amp; Sell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'YoY Comparison'!C4</f>
            </strRef>
          </tx>
          <spPr>
            <a:solidFill xmlns:a="http://schemas.openxmlformats.org/drawingml/2006/main">
              <a:srgbClr val="1A2F5A"/>
            </a:solidFill>
            <a:ln xmlns:a="http://schemas.openxmlformats.org/drawingml/2006/main">
              <a:prstDash val="solid"/>
            </a:ln>
          </spPr>
          <cat>
            <numRef>
              <f>'YoY Comparison'!$B$5:$B$16</f>
            </numRef>
          </cat>
          <val>
            <numRef>
              <f>'YoY Comparison'!$C$5:$C$16</f>
            </numRef>
          </val>
        </ser>
        <ser>
          <idx val="1"/>
          <order val="1"/>
          <tx>
            <strRef>
              <f>'YoY Comparison'!D4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'YoY Comparison'!$B$5:$B$16</f>
            </numRef>
          </cat>
          <val>
            <numRef>
              <f>'YoY Comparison'!$D$5:$D$16</f>
            </numRef>
          </val>
        </ser>
        <ser>
          <idx val="2"/>
          <order val="2"/>
          <tx>
            <strRef>
              <f>'YoY Comparison'!E4</f>
            </strRef>
          </tx>
          <spPr>
            <a:solidFill xmlns:a="http://schemas.openxmlformats.org/drawingml/2006/main">
              <a:srgbClr val="1E7145"/>
            </a:solidFill>
            <a:ln xmlns:a="http://schemas.openxmlformats.org/drawingml/2006/main">
              <a:prstDash val="solid"/>
            </a:ln>
          </spPr>
          <cat>
            <numRef>
              <f>'YoY Comparison'!$B$5:$B$16</f>
            </numRef>
          </cat>
          <val>
            <numRef>
              <f>'YoY Comparison'!$E$5:$E$16</f>
            </numRef>
          </val>
        </ser>
        <ser>
          <idx val="3"/>
          <order val="3"/>
          <tx>
            <strRef>
              <f>'YoY Comparison'!F4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'YoY Comparison'!$B$5:$B$16</f>
            </numRef>
          </cat>
          <val>
            <numRef>
              <f>'YoY Comparison'!$F$5:$F$16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45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27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45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55" customHeight="1">
      <c r="A1" s="1" t="inlineStr">
        <is>
          <t>♾️  INFINITY COLLECTION — Business Intelligence Report</t>
        </is>
      </c>
    </row>
    <row r="2" ht="20" customHeight="1">
      <c r="A2" s="2" t="inlineStr">
        <is>
          <t>Shirdi, Ahmednagar, Maharashtra  |  MSME Registered  |  Est. 2021</t>
        </is>
      </c>
    </row>
    <row r="3" ht="18" customHeight="1"/>
    <row r="4" ht="18" customHeight="1">
      <c r="A4" s="3" t="inlineStr">
        <is>
          <t>🏢 BUSINESS DETAILS</t>
        </is>
      </c>
      <c r="B4" s="58" t="n"/>
    </row>
    <row r="5" ht="18" customHeight="1">
      <c r="A5" s="4" t="inlineStr">
        <is>
          <t>Enterprise Name</t>
        </is>
      </c>
      <c r="B5" s="5" t="inlineStr">
        <is>
          <t>INFINITY COLLECTION</t>
        </is>
      </c>
    </row>
    <row r="6" ht="18" customHeight="1">
      <c r="A6" s="4" t="inlineStr">
        <is>
          <t>Proprietor</t>
        </is>
      </c>
      <c r="B6" s="5" t="inlineStr">
        <is>
          <t>Shubham Zarekar</t>
        </is>
      </c>
    </row>
    <row r="7" ht="18" customHeight="1">
      <c r="A7" s="4" t="inlineStr">
        <is>
          <t>Co-Proprietor</t>
        </is>
      </c>
      <c r="B7" s="5" t="inlineStr">
        <is>
          <t>Vilas Zarekar</t>
        </is>
      </c>
    </row>
    <row r="8" ht="18" customHeight="1">
      <c r="A8" s="4" t="inlineStr">
        <is>
          <t>UDYAM Registration No.</t>
        </is>
      </c>
      <c r="B8" s="5" t="inlineStr">
        <is>
          <t>UDYAM-MH-01-0056563</t>
        </is>
      </c>
    </row>
    <row r="9" ht="18" customHeight="1">
      <c r="A9" s="4" t="inlineStr">
        <is>
          <t>Enterprise Type</t>
        </is>
      </c>
      <c r="B9" s="5" t="inlineStr">
        <is>
          <t>Micro Enterprise (MSME)</t>
        </is>
      </c>
    </row>
    <row r="10" ht="18" customHeight="1">
      <c r="A10" s="4" t="inlineStr">
        <is>
          <t>Category</t>
        </is>
      </c>
      <c r="B10" s="5" t="inlineStr">
        <is>
          <t>SC — Social Category</t>
        </is>
      </c>
    </row>
    <row r="11" ht="18" customHeight="1">
      <c r="A11" s="4" t="inlineStr">
        <is>
          <t>Major Activity</t>
        </is>
      </c>
      <c r="B11" s="5" t="inlineStr">
        <is>
          <t>Services — Retail Trading</t>
        </is>
      </c>
    </row>
    <row r="12" ht="18" customHeight="1">
      <c r="A12" s="4" t="inlineStr">
        <is>
          <t>NIC Code</t>
        </is>
      </c>
      <c r="B12" s="5" t="inlineStr">
        <is>
          <t>47713 — Retail Sale of Footwear</t>
        </is>
      </c>
    </row>
    <row r="13" ht="18" customHeight="1">
      <c r="A13" s="4" t="inlineStr">
        <is>
          <t>Date of Registration</t>
        </is>
      </c>
      <c r="B13" s="5" t="inlineStr">
        <is>
          <t>02/08/2021</t>
        </is>
      </c>
    </row>
    <row r="14" ht="18" customHeight="1"/>
    <row r="15" ht="18" customHeight="1">
      <c r="A15" s="3" t="inlineStr">
        <is>
          <t>📍 ADDRESS</t>
        </is>
      </c>
      <c r="B15" s="58" t="n"/>
    </row>
    <row r="16" ht="18" customHeight="1">
      <c r="A16" s="4" t="inlineStr">
        <is>
          <t>Shop 1 (Retail)</t>
        </is>
      </c>
      <c r="B16" s="5" t="inlineStr">
        <is>
          <t>Sai Complex, Green Line, Shop 176 &amp; 177, Shirdi - 423109</t>
        </is>
      </c>
    </row>
    <row r="17" ht="18" customHeight="1">
      <c r="A17" s="4" t="inlineStr">
        <is>
          <t>Shop 2 (Wholesale)</t>
        </is>
      </c>
      <c r="B17" s="5" t="inlineStr">
        <is>
          <t>Ganpati Palace Road, Infront of Tania Hotel, Shirdi - 423109</t>
        </is>
      </c>
    </row>
    <row r="18" ht="18" customHeight="1">
      <c r="A18" s="4" t="inlineStr">
        <is>
          <t>Registered Address</t>
        </is>
      </c>
      <c r="B18" s="5" t="inlineStr">
        <is>
          <t>House No 901, Shriram Parking, Shirdi, Ahmednagar - 423109</t>
        </is>
      </c>
    </row>
    <row r="19" ht="18" customHeight="1"/>
    <row r="20" ht="18" customHeight="1">
      <c r="A20" s="3" t="inlineStr">
        <is>
          <t>📞 CONTACT</t>
        </is>
      </c>
      <c r="B20" s="58" t="n"/>
    </row>
    <row r="21" ht="18" customHeight="1">
      <c r="A21" s="4" t="inlineStr">
        <is>
          <t>Mobile (Shubham)</t>
        </is>
      </c>
      <c r="B21" s="5" t="inlineStr">
        <is>
          <t>8625891765 / 7768891765</t>
        </is>
      </c>
    </row>
    <row r="22" ht="18" customHeight="1">
      <c r="A22" s="4" t="inlineStr">
        <is>
          <t>Mobile (Vilas)</t>
        </is>
      </c>
      <c r="B22" s="5" t="inlineStr">
        <is>
          <t>9970066350</t>
        </is>
      </c>
    </row>
    <row r="23" ht="18" customHeight="1">
      <c r="A23" s="4" t="inlineStr">
        <is>
          <t>Email</t>
        </is>
      </c>
      <c r="B23" s="5" t="inlineStr">
        <is>
          <t>infinitycollection007@gmail.com</t>
        </is>
      </c>
    </row>
    <row r="24" ht="18" customHeight="1"/>
    <row r="25" ht="18" customHeight="1">
      <c r="A25" s="3" t="inlineStr">
        <is>
          <t>🛍️ PRODUCTS</t>
        </is>
      </c>
      <c r="B25" s="58" t="n"/>
    </row>
    <row r="26" ht="18" customHeight="1">
      <c r="A26" s="4" t="inlineStr">
        <is>
          <t>Footwear</t>
        </is>
      </c>
      <c r="B26" s="5" t="inlineStr">
        <is>
          <t>Kolhapuri Chappal, Jaipuri Mojari, Ahmedabad Chappal</t>
        </is>
      </c>
    </row>
    <row r="27" ht="18" customHeight="1">
      <c r="A27" s="4" t="inlineStr">
        <is>
          <t>Fashion</t>
        </is>
      </c>
      <c r="B27" s="5" t="inlineStr">
        <is>
          <t>Fancy Shoes, Slipers, Belt &amp; Pockets</t>
        </is>
      </c>
    </row>
    <row r="28" ht="18" customHeight="1">
      <c r="A28" s="4" t="inlineStr">
        <is>
          <t>Bags</t>
        </is>
      </c>
      <c r="B28" s="5" t="inlineStr">
        <is>
          <t>Jutt Bags, Saipalakhi Bags, Teddy Bear</t>
        </is>
      </c>
    </row>
    <row r="29" ht="18" customHeight="1">
      <c r="A29" s="4" t="inlineStr">
        <is>
          <t>Model</t>
        </is>
      </c>
      <c r="B29" s="5" t="inlineStr">
        <is>
          <t>B2B Wholesale + Retail Distribution</t>
        </is>
      </c>
    </row>
    <row r="30" ht="18" customHeight="1"/>
    <row r="31" ht="18" customHeight="1">
      <c r="A31" s="3" t="inlineStr">
        <is>
          <t>📊 BUSINESS PERFORMANCE</t>
        </is>
      </c>
      <c r="B31" s="58" t="n"/>
    </row>
    <row r="32" ht="18" customHeight="1">
      <c r="A32" s="4" t="inlineStr">
        <is>
          <t>Peak Annual Turnover</t>
        </is>
      </c>
      <c r="B32" s="5" t="inlineStr">
        <is>
          <t>₹1,50,00,000+ (2023-24)</t>
        </is>
      </c>
    </row>
    <row r="33" ht="18" customHeight="1">
      <c r="A33" s="4" t="inlineStr">
        <is>
          <t>Total Active Customers</t>
        </is>
      </c>
      <c r="B33" s="5" t="inlineStr">
        <is>
          <t>150+ Retail Shops (Shirdi Region)</t>
        </is>
      </c>
    </row>
    <row r="34" ht="18" customHeight="1">
      <c r="A34" s="4" t="inlineStr">
        <is>
          <t>2024 Total Collection</t>
        </is>
      </c>
      <c r="B34" s="5" t="inlineStr">
        <is>
          <t>₹1,42,40,854</t>
        </is>
      </c>
    </row>
    <row r="35" ht="18" customHeight="1">
      <c r="A35" s="4" t="inlineStr">
        <is>
          <t>2024 Total Sell</t>
        </is>
      </c>
      <c r="B35" s="5" t="inlineStr">
        <is>
          <t>₹1,44,05,378</t>
        </is>
      </c>
    </row>
    <row r="36" ht="18" customHeight="1">
      <c r="A36" s="4" t="inlineStr">
        <is>
          <t>2025 Total Collection (Jan-Dec)</t>
        </is>
      </c>
      <c r="B36" s="5" t="inlineStr">
        <is>
          <t>₹86,25,664</t>
        </is>
      </c>
    </row>
    <row r="37" ht="18" customHeight="1">
      <c r="A37" s="4" t="inlineStr">
        <is>
          <t>2025 Total Sell (Jan-Dec)</t>
        </is>
      </c>
      <c r="B37" s="5" t="inlineStr">
        <is>
          <t>₹87,30,875</t>
        </is>
      </c>
    </row>
  </sheetData>
  <mergeCells count="12">
    <mergeCell ref="A4:B4"/>
    <mergeCell ref="A20:B20"/>
    <mergeCell ref="A24:B24"/>
    <mergeCell ref="A2:B2"/>
    <mergeCell ref="A30:B30"/>
    <mergeCell ref="A15:B15"/>
    <mergeCell ref="A25:B25"/>
    <mergeCell ref="A19:B19"/>
    <mergeCell ref="A14:B14"/>
    <mergeCell ref="A1:B1"/>
    <mergeCell ref="A31:B3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0" customWidth="1" min="4" max="4"/>
    <col width="18" customWidth="1" min="5" max="5"/>
    <col width="14" customWidth="1" min="6" max="6"/>
    <col width="14" customWidth="1" min="7" max="7"/>
    <col width="20" customWidth="1" min="8" max="8"/>
  </cols>
  <sheetData>
    <row r="1" ht="45" customHeight="1">
      <c r="A1" s="6" t="inlineStr">
        <is>
          <t>INFINITY COLLECTION — 2024 Annual Sales Report</t>
        </is>
      </c>
    </row>
    <row r="2" ht="18" customHeight="1">
      <c r="A2" s="7" t="inlineStr">
        <is>
          <t>Monthly Collection &amp; Sell Analysis | 2024 | All amounts in ₹ | Shirdi, Ahmednagar</t>
        </is>
      </c>
    </row>
    <row r="3" ht="28" customHeight="1">
      <c r="A3" s="8" t="inlineStr">
        <is>
          <t>Sr.</t>
        </is>
      </c>
      <c r="B3" s="8" t="inlineStr">
        <is>
          <t>Month</t>
        </is>
      </c>
      <c r="C3" s="8" t="inlineStr">
        <is>
          <t>Collection (₹)</t>
        </is>
      </c>
      <c r="D3" s="8" t="inlineStr">
        <is>
          <t>Sell (₹)</t>
        </is>
      </c>
      <c r="E3" s="8" t="inlineStr">
        <is>
          <t>Diff (Sell−Coll) ₹</t>
        </is>
      </c>
      <c r="F3" s="8" t="inlineStr">
        <is>
          <t>Coll %</t>
        </is>
      </c>
      <c r="G3" s="8" t="inlineStr">
        <is>
          <t>Sell %</t>
        </is>
      </c>
      <c r="H3" s="8" t="inlineStr">
        <is>
          <t>Trend</t>
        </is>
      </c>
    </row>
    <row r="4" ht="22" customHeight="1">
      <c r="A4" s="9" t="n">
        <v>1</v>
      </c>
      <c r="B4" s="10" t="inlineStr">
        <is>
          <t>January</t>
        </is>
      </c>
      <c r="C4" s="11" t="n">
        <v>1606474</v>
      </c>
      <c r="D4" s="11" t="n">
        <v>1606703</v>
      </c>
      <c r="E4" s="12">
        <f>D4-C4</f>
        <v/>
      </c>
      <c r="F4" s="13">
        <f>C4/C16</f>
        <v/>
      </c>
      <c r="G4" s="13">
        <f>D4/D16</f>
        <v/>
      </c>
      <c r="H4" s="14" t="inlineStr">
        <is>
          <t>↑ Sell &gt; Coll</t>
        </is>
      </c>
    </row>
    <row r="5" ht="22" customHeight="1">
      <c r="A5" s="15" t="n">
        <v>2</v>
      </c>
      <c r="B5" s="16" t="inlineStr">
        <is>
          <t>February</t>
        </is>
      </c>
      <c r="C5" s="17" t="n">
        <v>1084329</v>
      </c>
      <c r="D5" s="17" t="n">
        <v>981981</v>
      </c>
      <c r="E5" s="18">
        <f>D5-C5</f>
        <v/>
      </c>
      <c r="F5" s="19">
        <f>C5/C16</f>
        <v/>
      </c>
      <c r="G5" s="19">
        <f>D5/D16</f>
        <v/>
      </c>
      <c r="H5" s="20" t="inlineStr">
        <is>
          <t>↓ Coll &gt; Sell</t>
        </is>
      </c>
    </row>
    <row r="6" ht="22" customHeight="1">
      <c r="A6" s="9" t="n">
        <v>3</v>
      </c>
      <c r="B6" s="10" t="inlineStr">
        <is>
          <t>March</t>
        </is>
      </c>
      <c r="C6" s="11" t="n">
        <v>1034395</v>
      </c>
      <c r="D6" s="11" t="n">
        <v>1140340</v>
      </c>
      <c r="E6" s="12">
        <f>D6-C6</f>
        <v/>
      </c>
      <c r="F6" s="13">
        <f>C6/C16</f>
        <v/>
      </c>
      <c r="G6" s="13">
        <f>D6/D16</f>
        <v/>
      </c>
      <c r="H6" s="14" t="inlineStr">
        <is>
          <t>↑ Sell &gt; Coll</t>
        </is>
      </c>
    </row>
    <row r="7" ht="22" customHeight="1">
      <c r="A7" s="15" t="n">
        <v>4</v>
      </c>
      <c r="B7" s="16" t="inlineStr">
        <is>
          <t>April</t>
        </is>
      </c>
      <c r="C7" s="17" t="n">
        <v>1055722</v>
      </c>
      <c r="D7" s="17" t="n">
        <v>940390</v>
      </c>
      <c r="E7" s="18">
        <f>D7-C7</f>
        <v/>
      </c>
      <c r="F7" s="19">
        <f>C7/C16</f>
        <v/>
      </c>
      <c r="G7" s="19">
        <f>D7/D16</f>
        <v/>
      </c>
      <c r="H7" s="20" t="inlineStr">
        <is>
          <t>↓ Coll &gt; Sell</t>
        </is>
      </c>
    </row>
    <row r="8" ht="22" customHeight="1">
      <c r="A8" s="9" t="n">
        <v>5</v>
      </c>
      <c r="B8" s="10" t="inlineStr">
        <is>
          <t>May</t>
        </is>
      </c>
      <c r="C8" s="11" t="n">
        <v>1308870</v>
      </c>
      <c r="D8" s="11" t="n">
        <v>1461639</v>
      </c>
      <c r="E8" s="12">
        <f>D8-C8</f>
        <v/>
      </c>
      <c r="F8" s="13">
        <f>C8/C16</f>
        <v/>
      </c>
      <c r="G8" s="13">
        <f>D8/D16</f>
        <v/>
      </c>
      <c r="H8" s="14" t="inlineStr">
        <is>
          <t>↑ Sell &gt; Coll</t>
        </is>
      </c>
    </row>
    <row r="9" ht="22" customHeight="1">
      <c r="A9" s="15" t="n">
        <v>6</v>
      </c>
      <c r="B9" s="16" t="inlineStr">
        <is>
          <t>June</t>
        </is>
      </c>
      <c r="C9" s="17" t="n">
        <v>1339195</v>
      </c>
      <c r="D9" s="17" t="n">
        <v>1461639</v>
      </c>
      <c r="E9" s="21">
        <f>D9-C9</f>
        <v/>
      </c>
      <c r="F9" s="19">
        <f>C9/C16</f>
        <v/>
      </c>
      <c r="G9" s="19">
        <f>D9/D16</f>
        <v/>
      </c>
      <c r="H9" s="22" t="inlineStr">
        <is>
          <t>↑ Sell &gt; Coll</t>
        </is>
      </c>
    </row>
    <row r="10" ht="22" customHeight="1">
      <c r="A10" s="9" t="n">
        <v>7</v>
      </c>
      <c r="B10" s="10" t="inlineStr">
        <is>
          <t>July</t>
        </is>
      </c>
      <c r="C10" s="11" t="n">
        <v>1238144</v>
      </c>
      <c r="D10" s="11" t="n">
        <v>1236975</v>
      </c>
      <c r="E10" s="23">
        <f>D10-C10</f>
        <v/>
      </c>
      <c r="F10" s="13">
        <f>C10/C16</f>
        <v/>
      </c>
      <c r="G10" s="13">
        <f>D10/D16</f>
        <v/>
      </c>
      <c r="H10" s="24" t="inlineStr">
        <is>
          <t>↓ Coll &gt; Sell</t>
        </is>
      </c>
    </row>
    <row r="11" ht="22" customHeight="1">
      <c r="A11" s="15" t="n">
        <v>8</v>
      </c>
      <c r="B11" s="16" t="inlineStr">
        <is>
          <t>August</t>
        </is>
      </c>
      <c r="C11" s="17" t="n">
        <v>914813</v>
      </c>
      <c r="D11" s="17" t="n">
        <v>1023095</v>
      </c>
      <c r="E11" s="21">
        <f>D11-C11</f>
        <v/>
      </c>
      <c r="F11" s="19">
        <f>C11/C16</f>
        <v/>
      </c>
      <c r="G11" s="19">
        <f>D11/D16</f>
        <v/>
      </c>
      <c r="H11" s="22" t="inlineStr">
        <is>
          <t>↑ Sell &gt; Coll</t>
        </is>
      </c>
    </row>
    <row r="12" ht="22" customHeight="1">
      <c r="A12" s="9" t="n">
        <v>9</v>
      </c>
      <c r="B12" s="10" t="inlineStr">
        <is>
          <t>September</t>
        </is>
      </c>
      <c r="C12" s="11" t="n">
        <v>774970</v>
      </c>
      <c r="D12" s="11" t="n">
        <v>958870</v>
      </c>
      <c r="E12" s="12">
        <f>D12-C12</f>
        <v/>
      </c>
      <c r="F12" s="13">
        <f>C12/C16</f>
        <v/>
      </c>
      <c r="G12" s="13">
        <f>D12/D16</f>
        <v/>
      </c>
      <c r="H12" s="14" t="inlineStr">
        <is>
          <t>↑ Sell &gt; Coll</t>
        </is>
      </c>
    </row>
    <row r="13" ht="22" customHeight="1">
      <c r="A13" s="15" t="n">
        <v>10</v>
      </c>
      <c r="B13" s="16" t="inlineStr">
        <is>
          <t>October</t>
        </is>
      </c>
      <c r="C13" s="17" t="n">
        <v>929965</v>
      </c>
      <c r="D13" s="17" t="n">
        <v>986390</v>
      </c>
      <c r="E13" s="21">
        <f>D13-C13</f>
        <v/>
      </c>
      <c r="F13" s="19">
        <f>C13/C16</f>
        <v/>
      </c>
      <c r="G13" s="19">
        <f>D13/D16</f>
        <v/>
      </c>
      <c r="H13" s="22" t="inlineStr">
        <is>
          <t>↑ Sell &gt; Coll</t>
        </is>
      </c>
    </row>
    <row r="14" ht="22" customHeight="1">
      <c r="A14" s="9" t="n">
        <v>11</v>
      </c>
      <c r="B14" s="10" t="inlineStr">
        <is>
          <t>November</t>
        </is>
      </c>
      <c r="C14" s="11" t="n">
        <v>1472745</v>
      </c>
      <c r="D14" s="11" t="n">
        <v>1313050</v>
      </c>
      <c r="E14" s="23">
        <f>D14-C14</f>
        <v/>
      </c>
      <c r="F14" s="13">
        <f>C14/C16</f>
        <v/>
      </c>
      <c r="G14" s="13">
        <f>D14/D16</f>
        <v/>
      </c>
      <c r="H14" s="24" t="inlineStr">
        <is>
          <t>↓ Coll &gt; Sell</t>
        </is>
      </c>
    </row>
    <row r="15" ht="22" customHeight="1">
      <c r="A15" s="15" t="n">
        <v>12</v>
      </c>
      <c r="B15" s="16" t="inlineStr">
        <is>
          <t>December</t>
        </is>
      </c>
      <c r="C15" s="17" t="n">
        <v>1481232</v>
      </c>
      <c r="D15" s="17" t="n">
        <v>1393645</v>
      </c>
      <c r="E15" s="18">
        <f>D15-C15</f>
        <v/>
      </c>
      <c r="F15" s="19">
        <f>C15/C16</f>
        <v/>
      </c>
      <c r="G15" s="19">
        <f>D15/D16</f>
        <v/>
      </c>
      <c r="H15" s="20" t="inlineStr">
        <is>
          <t>↓ Coll &gt; Sell</t>
        </is>
      </c>
    </row>
    <row r="16" ht="26" customHeight="1">
      <c r="A16" s="25" t="inlineStr">
        <is>
          <t>ANNUAL TOTAL</t>
        </is>
      </c>
      <c r="B16" s="59" t="n"/>
      <c r="C16" s="26">
        <f>SUM(C4:C15)</f>
        <v/>
      </c>
      <c r="D16" s="26">
        <f>SUM(D4:D15)</f>
        <v/>
      </c>
      <c r="E16" s="26">
        <f>SUM(E4:E15)</f>
        <v/>
      </c>
      <c r="F16" s="27" t="inlineStr">
        <is>
          <t>100.0%</t>
        </is>
      </c>
      <c r="G16" s="27" t="inlineStr">
        <is>
          <t>100.0%</t>
        </is>
      </c>
    </row>
    <row r="18" ht="22" customHeight="1">
      <c r="A18" s="28" t="inlineStr">
        <is>
          <t>KEY METRICS — 2024</t>
        </is>
      </c>
    </row>
    <row r="19" ht="20" customHeight="1">
      <c r="A19" s="4" t="inlineStr">
        <is>
          <t>Total Annual Collection</t>
        </is>
      </c>
      <c r="B19" s="60" t="n"/>
      <c r="C19" s="60" t="n"/>
      <c r="D19" s="58" t="n"/>
      <c r="E19" s="29">
        <f>C16</f>
        <v/>
      </c>
      <c r="F19" s="60" t="n"/>
      <c r="G19" s="60" t="n"/>
      <c r="H19" s="58" t="n"/>
    </row>
    <row r="20" ht="20" customHeight="1">
      <c r="A20" s="4" t="inlineStr">
        <is>
          <t>Total Annual Sell</t>
        </is>
      </c>
      <c r="B20" s="60" t="n"/>
      <c r="C20" s="60" t="n"/>
      <c r="D20" s="58" t="n"/>
      <c r="E20" s="29">
        <f>D16</f>
        <v/>
      </c>
      <c r="F20" s="60" t="n"/>
      <c r="G20" s="60" t="n"/>
      <c r="H20" s="58" t="n"/>
    </row>
    <row r="21" ht="20" customHeight="1">
      <c r="A21" s="4" t="inlineStr">
        <is>
          <t>Net Difference (Sell−Coll)</t>
        </is>
      </c>
      <c r="B21" s="60" t="n"/>
      <c r="C21" s="60" t="n"/>
      <c r="D21" s="58" t="n"/>
      <c r="E21" s="29">
        <f>E16</f>
        <v/>
      </c>
      <c r="F21" s="60" t="n"/>
      <c r="G21" s="60" t="n"/>
      <c r="H21" s="58" t="n"/>
    </row>
    <row r="22" ht="20" customHeight="1">
      <c r="A22" s="4" t="inlineStr">
        <is>
          <t>Best Collection Month</t>
        </is>
      </c>
      <c r="B22" s="60" t="n"/>
      <c r="C22" s="60" t="n"/>
      <c r="D22" s="58" t="n"/>
      <c r="E22" s="30">
        <f>INDEX(B4:B15,MATCH(MAX(C4:C15),C4:C15,0))</f>
        <v/>
      </c>
      <c r="F22" s="60" t="n"/>
      <c r="G22" s="60" t="n"/>
      <c r="H22" s="58" t="n"/>
    </row>
    <row r="23" ht="20" customHeight="1">
      <c r="A23" s="4" t="inlineStr">
        <is>
          <t>Best Sell Month</t>
        </is>
      </c>
      <c r="B23" s="60" t="n"/>
      <c r="C23" s="60" t="n"/>
      <c r="D23" s="58" t="n"/>
      <c r="E23" s="30">
        <f>INDEX(B4:B15,MATCH(MAX(D4:D15),D4:D15,0))</f>
        <v/>
      </c>
      <c r="F23" s="60" t="n"/>
      <c r="G23" s="60" t="n"/>
      <c r="H23" s="58" t="n"/>
    </row>
    <row r="24" ht="20" customHeight="1">
      <c r="A24" s="4" t="inlineStr">
        <is>
          <t>Worst Collection Month</t>
        </is>
      </c>
      <c r="B24" s="60" t="n"/>
      <c r="C24" s="60" t="n"/>
      <c r="D24" s="58" t="n"/>
      <c r="E24" s="30">
        <f>INDEX(B4:B15,MATCH(MIN(C4:C15),C4:C15,0))</f>
        <v/>
      </c>
      <c r="F24" s="60" t="n"/>
      <c r="G24" s="60" t="n"/>
      <c r="H24" s="58" t="n"/>
    </row>
    <row r="25" ht="20" customHeight="1">
      <c r="A25" s="4" t="inlineStr">
        <is>
          <t>Monthly Avg Collection</t>
        </is>
      </c>
      <c r="B25" s="60" t="n"/>
      <c r="C25" s="60" t="n"/>
      <c r="D25" s="58" t="n"/>
      <c r="E25" s="29">
        <f>C16/12</f>
        <v/>
      </c>
      <c r="F25" s="60" t="n"/>
      <c r="G25" s="60" t="n"/>
      <c r="H25" s="58" t="n"/>
    </row>
    <row r="26" ht="20" customHeight="1">
      <c r="A26" s="4" t="inlineStr">
        <is>
          <t>Monthly Avg Sell</t>
        </is>
      </c>
      <c r="B26" s="60" t="n"/>
      <c r="C26" s="60" t="n"/>
      <c r="D26" s="58" t="n"/>
      <c r="E26" s="29">
        <f>D16/12</f>
        <v/>
      </c>
      <c r="F26" s="60" t="n"/>
      <c r="G26" s="60" t="n"/>
      <c r="H26" s="58" t="n"/>
    </row>
  </sheetData>
  <mergeCells count="20">
    <mergeCell ref="A23:D23"/>
    <mergeCell ref="E26:H26"/>
    <mergeCell ref="A22:D22"/>
    <mergeCell ref="A20:D20"/>
    <mergeCell ref="E25:H25"/>
    <mergeCell ref="A19:D19"/>
    <mergeCell ref="A1:H1"/>
    <mergeCell ref="E22:H22"/>
    <mergeCell ref="A16:B16"/>
    <mergeCell ref="E21:H21"/>
    <mergeCell ref="A24:D24"/>
    <mergeCell ref="E24:H24"/>
    <mergeCell ref="A18:H18"/>
    <mergeCell ref="E23:H23"/>
    <mergeCell ref="A2:H2"/>
    <mergeCell ref="E20:H20"/>
    <mergeCell ref="A25:D25"/>
    <mergeCell ref="E19:H19"/>
    <mergeCell ref="A26:D26"/>
    <mergeCell ref="A21:D21"/>
  </mergeCells>
  <conditionalFormatting sqref="C4:C15">
    <cfRule type="dataBar" priority="1">
      <dataBar>
        <cfvo type="min" val="0"/>
        <cfvo type="max"/>
        <color rgb="004472C4"/>
      </dataBar>
    </cfRule>
  </conditionalFormatting>
  <conditionalFormatting sqref="D4:D15">
    <cfRule type="dataBar" priority="2">
      <dataBar>
        <cfvo type="min" val="0"/>
        <cfvo type="max"/>
        <color rgb="00C9A84C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0" customWidth="1" min="4" max="4"/>
    <col width="18" customWidth="1" min="5" max="5"/>
    <col width="14" customWidth="1" min="6" max="6"/>
    <col width="14" customWidth="1" min="7" max="7"/>
    <col width="20" customWidth="1" min="8" max="8"/>
  </cols>
  <sheetData>
    <row r="1" ht="45" customHeight="1">
      <c r="A1" s="6" t="inlineStr">
        <is>
          <t>INFINITY COLLECTION — 2025 Annual Sales Report</t>
        </is>
      </c>
    </row>
    <row r="2" ht="18" customHeight="1">
      <c r="A2" s="7" t="inlineStr">
        <is>
          <t>Monthly Collection &amp; Sell Analysis | 2025 | All amounts in ₹ | Shirdi, Ahmednagar</t>
        </is>
      </c>
    </row>
    <row r="3" ht="28" customHeight="1">
      <c r="A3" s="8" t="inlineStr">
        <is>
          <t>Sr.</t>
        </is>
      </c>
      <c r="B3" s="8" t="inlineStr">
        <is>
          <t>Month</t>
        </is>
      </c>
      <c r="C3" s="8" t="inlineStr">
        <is>
          <t>Collection (₹)</t>
        </is>
      </c>
      <c r="D3" s="8" t="inlineStr">
        <is>
          <t>Sell (₹)</t>
        </is>
      </c>
      <c r="E3" s="8" t="inlineStr">
        <is>
          <t>Diff (Sell−Coll) ₹</t>
        </is>
      </c>
      <c r="F3" s="8" t="inlineStr">
        <is>
          <t>Coll %</t>
        </is>
      </c>
      <c r="G3" s="8" t="inlineStr">
        <is>
          <t>Sell %</t>
        </is>
      </c>
      <c r="H3" s="8" t="inlineStr">
        <is>
          <t>Trend</t>
        </is>
      </c>
    </row>
    <row r="4" ht="22" customHeight="1">
      <c r="A4" s="9" t="n">
        <v>1</v>
      </c>
      <c r="B4" s="10" t="inlineStr">
        <is>
          <t>January</t>
        </is>
      </c>
      <c r="C4" s="11" t="n">
        <v>1437385</v>
      </c>
      <c r="D4" s="11" t="n">
        <v>1493496</v>
      </c>
      <c r="E4" s="12">
        <f>D4-C4</f>
        <v/>
      </c>
      <c r="F4" s="13">
        <f>C4/C16</f>
        <v/>
      </c>
      <c r="G4" s="13">
        <f>D4/D16</f>
        <v/>
      </c>
      <c r="H4" s="14" t="inlineStr">
        <is>
          <t>↑ Sell &gt; Coll</t>
        </is>
      </c>
    </row>
    <row r="5" ht="22" customHeight="1">
      <c r="A5" s="15" t="n">
        <v>2</v>
      </c>
      <c r="B5" s="16" t="inlineStr">
        <is>
          <t>February</t>
        </is>
      </c>
      <c r="C5" s="17" t="n">
        <v>852705</v>
      </c>
      <c r="D5" s="17" t="n">
        <v>826287</v>
      </c>
      <c r="E5" s="18">
        <f>D5-C5</f>
        <v/>
      </c>
      <c r="F5" s="19">
        <f>C5/C16</f>
        <v/>
      </c>
      <c r="G5" s="19">
        <f>D5/D16</f>
        <v/>
      </c>
      <c r="H5" s="20" t="inlineStr">
        <is>
          <t>↓ Coll &gt; Sell</t>
        </is>
      </c>
    </row>
    <row r="6" ht="22" customHeight="1">
      <c r="A6" s="9" t="n">
        <v>3</v>
      </c>
      <c r="B6" s="10" t="inlineStr">
        <is>
          <t>March</t>
        </is>
      </c>
      <c r="C6" s="11" t="n">
        <v>721015</v>
      </c>
      <c r="D6" s="11" t="n">
        <v>740890</v>
      </c>
      <c r="E6" s="12">
        <f>D6-C6</f>
        <v/>
      </c>
      <c r="F6" s="13">
        <f>C6/C16</f>
        <v/>
      </c>
      <c r="G6" s="13">
        <f>D6/D16</f>
        <v/>
      </c>
      <c r="H6" s="14" t="inlineStr">
        <is>
          <t>↑ Sell &gt; Coll</t>
        </is>
      </c>
    </row>
    <row r="7" ht="22" customHeight="1">
      <c r="A7" s="15" t="n">
        <v>4</v>
      </c>
      <c r="B7" s="16" t="inlineStr">
        <is>
          <t>April</t>
        </is>
      </c>
      <c r="C7" s="17" t="n">
        <v>703980</v>
      </c>
      <c r="D7" s="17" t="n">
        <v>704877</v>
      </c>
      <c r="E7" s="21">
        <f>D7-C7</f>
        <v/>
      </c>
      <c r="F7" s="19">
        <f>C7/C16</f>
        <v/>
      </c>
      <c r="G7" s="19">
        <f>D7/D16</f>
        <v/>
      </c>
      <c r="H7" s="22" t="inlineStr">
        <is>
          <t>↑ Sell &gt; Coll</t>
        </is>
      </c>
    </row>
    <row r="8" ht="22" customHeight="1">
      <c r="A8" s="9" t="n">
        <v>5</v>
      </c>
      <c r="B8" s="10" t="inlineStr">
        <is>
          <t>May</t>
        </is>
      </c>
      <c r="C8" s="11" t="n">
        <v>571390</v>
      </c>
      <c r="D8" s="11" t="n">
        <v>586120</v>
      </c>
      <c r="E8" s="12">
        <f>D8-C8</f>
        <v/>
      </c>
      <c r="F8" s="13">
        <f>C8/C16</f>
        <v/>
      </c>
      <c r="G8" s="13">
        <f>D8/D16</f>
        <v/>
      </c>
      <c r="H8" s="14" t="inlineStr">
        <is>
          <t>↑ Sell &gt; Coll</t>
        </is>
      </c>
    </row>
    <row r="9" ht="22" customHeight="1">
      <c r="A9" s="15" t="n">
        <v>6</v>
      </c>
      <c r="B9" s="16" t="inlineStr">
        <is>
          <t>June</t>
        </is>
      </c>
      <c r="C9" s="17" t="n">
        <v>614800</v>
      </c>
      <c r="D9" s="17" t="n">
        <v>519845</v>
      </c>
      <c r="E9" s="18">
        <f>D9-C9</f>
        <v/>
      </c>
      <c r="F9" s="19">
        <f>C9/C16</f>
        <v/>
      </c>
      <c r="G9" s="19">
        <f>D9/D16</f>
        <v/>
      </c>
      <c r="H9" s="20" t="inlineStr">
        <is>
          <t>↓ Coll &gt; Sell</t>
        </is>
      </c>
    </row>
    <row r="10" ht="22" customHeight="1">
      <c r="A10" s="9" t="n">
        <v>7</v>
      </c>
      <c r="B10" s="10" t="inlineStr">
        <is>
          <t>July</t>
        </is>
      </c>
      <c r="C10" s="11" t="n">
        <v>749455</v>
      </c>
      <c r="D10" s="11" t="n">
        <v>785481</v>
      </c>
      <c r="E10" s="12">
        <f>D10-C10</f>
        <v/>
      </c>
      <c r="F10" s="13">
        <f>C10/C16</f>
        <v/>
      </c>
      <c r="G10" s="13">
        <f>D10/D16</f>
        <v/>
      </c>
      <c r="H10" s="14" t="inlineStr">
        <is>
          <t>↑ Sell &gt; Coll</t>
        </is>
      </c>
    </row>
    <row r="11" ht="22" customHeight="1">
      <c r="A11" s="15" t="n">
        <v>8</v>
      </c>
      <c r="B11" s="16" t="inlineStr">
        <is>
          <t>August</t>
        </is>
      </c>
      <c r="C11" s="17" t="n">
        <v>583985</v>
      </c>
      <c r="D11" s="17" t="n">
        <v>596710</v>
      </c>
      <c r="E11" s="21">
        <f>D11-C11</f>
        <v/>
      </c>
      <c r="F11" s="19">
        <f>C11/C16</f>
        <v/>
      </c>
      <c r="G11" s="19">
        <f>D11/D16</f>
        <v/>
      </c>
      <c r="H11" s="22" t="inlineStr">
        <is>
          <t>↑ Sell &gt; Coll</t>
        </is>
      </c>
    </row>
    <row r="12" ht="22" customHeight="1">
      <c r="A12" s="9" t="n">
        <v>9</v>
      </c>
      <c r="B12" s="10" t="inlineStr">
        <is>
          <t>September</t>
        </is>
      </c>
      <c r="C12" s="11" t="n">
        <v>393329</v>
      </c>
      <c r="D12" s="11" t="n">
        <v>351784</v>
      </c>
      <c r="E12" s="23">
        <f>D12-C12</f>
        <v/>
      </c>
      <c r="F12" s="13">
        <f>C12/C16</f>
        <v/>
      </c>
      <c r="G12" s="13">
        <f>D12/D16</f>
        <v/>
      </c>
      <c r="H12" s="24" t="inlineStr">
        <is>
          <t>↓ Coll &gt; Sell</t>
        </is>
      </c>
    </row>
    <row r="13" ht="22" customHeight="1">
      <c r="A13" s="15" t="n">
        <v>10</v>
      </c>
      <c r="B13" s="16" t="inlineStr">
        <is>
          <t>October</t>
        </is>
      </c>
      <c r="C13" s="17" t="n">
        <v>604960</v>
      </c>
      <c r="D13" s="17" t="n">
        <v>623785</v>
      </c>
      <c r="E13" s="21">
        <f>D13-C13</f>
        <v/>
      </c>
      <c r="F13" s="19">
        <f>C13/C16</f>
        <v/>
      </c>
      <c r="G13" s="19">
        <f>D13/D16</f>
        <v/>
      </c>
      <c r="H13" s="22" t="inlineStr">
        <is>
          <t>↑ Sell &gt; Coll</t>
        </is>
      </c>
    </row>
    <row r="14" ht="22" customHeight="1">
      <c r="A14" s="9" t="n">
        <v>11</v>
      </c>
      <c r="B14" s="10" t="inlineStr">
        <is>
          <t>November</t>
        </is>
      </c>
      <c r="C14" s="11" t="n">
        <v>625830</v>
      </c>
      <c r="D14" s="11" t="n">
        <v>700800</v>
      </c>
      <c r="E14" s="12">
        <f>D14-C14</f>
        <v/>
      </c>
      <c r="F14" s="13">
        <f>C14/C16</f>
        <v/>
      </c>
      <c r="G14" s="13">
        <f>D14/D16</f>
        <v/>
      </c>
      <c r="H14" s="14" t="inlineStr">
        <is>
          <t>↑ Sell &gt; Coll</t>
        </is>
      </c>
    </row>
    <row r="15" ht="22" customHeight="1">
      <c r="A15" s="15" t="n">
        <v>12</v>
      </c>
      <c r="B15" s="16" t="inlineStr">
        <is>
          <t>December</t>
        </is>
      </c>
      <c r="C15" s="17" t="n">
        <v>766830</v>
      </c>
      <c r="D15" s="17" t="n">
        <v>800800</v>
      </c>
      <c r="E15" s="21">
        <f>D15-C15</f>
        <v/>
      </c>
      <c r="F15" s="19">
        <f>C15/C16</f>
        <v/>
      </c>
      <c r="G15" s="19">
        <f>D15/D16</f>
        <v/>
      </c>
      <c r="H15" s="22" t="inlineStr">
        <is>
          <t>↑ Sell &gt; Coll</t>
        </is>
      </c>
    </row>
    <row r="16" ht="26" customHeight="1">
      <c r="A16" s="25" t="inlineStr">
        <is>
          <t>ANNUAL TOTAL</t>
        </is>
      </c>
      <c r="B16" s="59" t="n"/>
      <c r="C16" s="26">
        <f>SUM(C4:C15)</f>
        <v/>
      </c>
      <c r="D16" s="26">
        <f>SUM(D4:D15)</f>
        <v/>
      </c>
      <c r="E16" s="26">
        <f>SUM(E4:E15)</f>
        <v/>
      </c>
      <c r="F16" s="27" t="inlineStr">
        <is>
          <t>100.0%</t>
        </is>
      </c>
      <c r="G16" s="27" t="inlineStr">
        <is>
          <t>100.0%</t>
        </is>
      </c>
    </row>
    <row r="18" ht="22" customHeight="1">
      <c r="A18" s="28" t="inlineStr">
        <is>
          <t>KEY METRICS — 2025</t>
        </is>
      </c>
    </row>
    <row r="19" ht="20" customHeight="1">
      <c r="A19" s="4" t="inlineStr">
        <is>
          <t>Total Annual Collection</t>
        </is>
      </c>
      <c r="B19" s="60" t="n"/>
      <c r="C19" s="60" t="n"/>
      <c r="D19" s="58" t="n"/>
      <c r="E19" s="29">
        <f>C16</f>
        <v/>
      </c>
      <c r="F19" s="60" t="n"/>
      <c r="G19" s="60" t="n"/>
      <c r="H19" s="58" t="n"/>
    </row>
    <row r="20" ht="20" customHeight="1">
      <c r="A20" s="4" t="inlineStr">
        <is>
          <t>Total Annual Sell</t>
        </is>
      </c>
      <c r="B20" s="60" t="n"/>
      <c r="C20" s="60" t="n"/>
      <c r="D20" s="58" t="n"/>
      <c r="E20" s="29">
        <f>D16</f>
        <v/>
      </c>
      <c r="F20" s="60" t="n"/>
      <c r="G20" s="60" t="n"/>
      <c r="H20" s="58" t="n"/>
    </row>
    <row r="21" ht="20" customHeight="1">
      <c r="A21" s="4" t="inlineStr">
        <is>
          <t>Net Difference (Sell−Coll)</t>
        </is>
      </c>
      <c r="B21" s="60" t="n"/>
      <c r="C21" s="60" t="n"/>
      <c r="D21" s="58" t="n"/>
      <c r="E21" s="29">
        <f>E16</f>
        <v/>
      </c>
      <c r="F21" s="60" t="n"/>
      <c r="G21" s="60" t="n"/>
      <c r="H21" s="58" t="n"/>
    </row>
    <row r="22" ht="20" customHeight="1">
      <c r="A22" s="4" t="inlineStr">
        <is>
          <t>Best Collection Month</t>
        </is>
      </c>
      <c r="B22" s="60" t="n"/>
      <c r="C22" s="60" t="n"/>
      <c r="D22" s="58" t="n"/>
      <c r="E22" s="30">
        <f>INDEX(B4:B15,MATCH(MAX(C4:C15),C4:C15,0))</f>
        <v/>
      </c>
      <c r="F22" s="60" t="n"/>
      <c r="G22" s="60" t="n"/>
      <c r="H22" s="58" t="n"/>
    </row>
    <row r="23" ht="20" customHeight="1">
      <c r="A23" s="4" t="inlineStr">
        <is>
          <t>Best Sell Month</t>
        </is>
      </c>
      <c r="B23" s="60" t="n"/>
      <c r="C23" s="60" t="n"/>
      <c r="D23" s="58" t="n"/>
      <c r="E23" s="30">
        <f>INDEX(B4:B15,MATCH(MAX(D4:D15),D4:D15,0))</f>
        <v/>
      </c>
      <c r="F23" s="60" t="n"/>
      <c r="G23" s="60" t="n"/>
      <c r="H23" s="58" t="n"/>
    </row>
    <row r="24" ht="20" customHeight="1">
      <c r="A24" s="4" t="inlineStr">
        <is>
          <t>Worst Collection Month</t>
        </is>
      </c>
      <c r="B24" s="60" t="n"/>
      <c r="C24" s="60" t="n"/>
      <c r="D24" s="58" t="n"/>
      <c r="E24" s="30">
        <f>INDEX(B4:B15,MATCH(MIN(C4:C15),C4:C15,0))</f>
        <v/>
      </c>
      <c r="F24" s="60" t="n"/>
      <c r="G24" s="60" t="n"/>
      <c r="H24" s="58" t="n"/>
    </row>
    <row r="25" ht="20" customHeight="1">
      <c r="A25" s="4" t="inlineStr">
        <is>
          <t>Monthly Avg Collection</t>
        </is>
      </c>
      <c r="B25" s="60" t="n"/>
      <c r="C25" s="60" t="n"/>
      <c r="D25" s="58" t="n"/>
      <c r="E25" s="29">
        <f>C16/12</f>
        <v/>
      </c>
      <c r="F25" s="60" t="n"/>
      <c r="G25" s="60" t="n"/>
      <c r="H25" s="58" t="n"/>
    </row>
    <row r="26" ht="20" customHeight="1">
      <c r="A26" s="4" t="inlineStr">
        <is>
          <t>Monthly Avg Sell</t>
        </is>
      </c>
      <c r="B26" s="60" t="n"/>
      <c r="C26" s="60" t="n"/>
      <c r="D26" s="58" t="n"/>
      <c r="E26" s="29">
        <f>D16/12</f>
        <v/>
      </c>
      <c r="F26" s="60" t="n"/>
      <c r="G26" s="60" t="n"/>
      <c r="H26" s="58" t="n"/>
    </row>
  </sheetData>
  <mergeCells count="20">
    <mergeCell ref="A23:D23"/>
    <mergeCell ref="E26:H26"/>
    <mergeCell ref="A22:D22"/>
    <mergeCell ref="A20:D20"/>
    <mergeCell ref="E25:H25"/>
    <mergeCell ref="A19:D19"/>
    <mergeCell ref="A1:H1"/>
    <mergeCell ref="E22:H22"/>
    <mergeCell ref="A16:B16"/>
    <mergeCell ref="E21:H21"/>
    <mergeCell ref="A24:D24"/>
    <mergeCell ref="E24:H24"/>
    <mergeCell ref="A18:H18"/>
    <mergeCell ref="E23:H23"/>
    <mergeCell ref="A2:H2"/>
    <mergeCell ref="E20:H20"/>
    <mergeCell ref="A25:D25"/>
    <mergeCell ref="E19:H19"/>
    <mergeCell ref="A26:D26"/>
    <mergeCell ref="A21:D21"/>
  </mergeCells>
  <conditionalFormatting sqref="C4:C15">
    <cfRule type="dataBar" priority="1">
      <dataBar>
        <cfvo type="min" val="0"/>
        <cfvo type="max"/>
        <color rgb="004472C4"/>
      </dataBar>
    </cfRule>
  </conditionalFormatting>
  <conditionalFormatting sqref="D4:D15">
    <cfRule type="dataBar" priority="2">
      <dataBar>
        <cfvo type="min" val="0"/>
        <cfvo type="max"/>
        <color rgb="00C9A84C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6" customWidth="1" min="7" max="7"/>
    <col width="16" customWidth="1" min="8" max="8"/>
  </cols>
  <sheetData>
    <row r="1" ht="45" customHeight="1">
      <c r="A1" s="6" t="inlineStr">
        <is>
          <t>INFINITY COLLECTION — Year-on-Year Performance 2024 vs 2025</t>
        </is>
      </c>
    </row>
    <row r="2">
      <c r="A2" s="7" t="inlineStr">
        <is>
          <t>Comparative Analysis | Business Drop Analysis | COVID &amp; Accident Impact Study</t>
        </is>
      </c>
    </row>
    <row r="3" ht="24" customHeight="1">
      <c r="C3" s="31" t="inlineStr">
        <is>
          <t>📅 2024</t>
        </is>
      </c>
      <c r="D3" s="58" t="n"/>
      <c r="E3" s="32" t="inlineStr">
        <is>
          <t>📅 2025</t>
        </is>
      </c>
      <c r="F3" s="58" t="n"/>
      <c r="G3" s="33" t="inlineStr">
        <is>
          <t>📊 YoY Change</t>
        </is>
      </c>
      <c r="H3" s="58" t="n"/>
    </row>
    <row r="4" ht="24" customHeight="1">
      <c r="A4" s="34" t="inlineStr">
        <is>
          <t>Sr.</t>
        </is>
      </c>
      <c r="B4" s="34" t="inlineStr">
        <is>
          <t>Month</t>
        </is>
      </c>
      <c r="C4" s="34" t="inlineStr">
        <is>
          <t>Collection</t>
        </is>
      </c>
      <c r="D4" s="34" t="inlineStr">
        <is>
          <t>Sell</t>
        </is>
      </c>
      <c r="E4" s="34" t="inlineStr">
        <is>
          <t>Collection</t>
        </is>
      </c>
      <c r="F4" s="34" t="inlineStr">
        <is>
          <t>Sell</t>
        </is>
      </c>
      <c r="G4" s="34" t="inlineStr">
        <is>
          <t>Coll Δ%</t>
        </is>
      </c>
      <c r="H4" s="34" t="inlineStr">
        <is>
          <t>Sell Δ%</t>
        </is>
      </c>
    </row>
    <row r="5" ht="20" customHeight="1">
      <c r="A5" s="9" t="n">
        <v>1</v>
      </c>
      <c r="B5" s="10" t="inlineStr">
        <is>
          <t>January</t>
        </is>
      </c>
      <c r="C5" s="11" t="n">
        <v>1606474</v>
      </c>
      <c r="D5" s="11" t="n">
        <v>1606703</v>
      </c>
      <c r="E5" s="12" t="n">
        <v>1437385</v>
      </c>
      <c r="F5" s="12" t="n">
        <v>1493496</v>
      </c>
      <c r="G5" s="35">
        <f>(E5-C5)/C5</f>
        <v/>
      </c>
      <c r="H5" s="35">
        <f>(F5-D5)/D5</f>
        <v/>
      </c>
    </row>
    <row r="6" ht="20" customHeight="1">
      <c r="A6" s="15" t="n">
        <v>2</v>
      </c>
      <c r="B6" s="16" t="inlineStr">
        <is>
          <t>February</t>
        </is>
      </c>
      <c r="C6" s="17" t="n">
        <v>1084329</v>
      </c>
      <c r="D6" s="17" t="n">
        <v>981981</v>
      </c>
      <c r="E6" s="21" t="n">
        <v>852705</v>
      </c>
      <c r="F6" s="21" t="n">
        <v>826287</v>
      </c>
      <c r="G6" s="36">
        <f>(E6-C6)/C6</f>
        <v/>
      </c>
      <c r="H6" s="36">
        <f>(F6-D6)/D6</f>
        <v/>
      </c>
    </row>
    <row r="7" ht="20" customHeight="1">
      <c r="A7" s="9" t="n">
        <v>3</v>
      </c>
      <c r="B7" s="10" t="inlineStr">
        <is>
          <t>March</t>
        </is>
      </c>
      <c r="C7" s="11" t="n">
        <v>1034395</v>
      </c>
      <c r="D7" s="11" t="n">
        <v>1140340</v>
      </c>
      <c r="E7" s="12" t="n">
        <v>721015</v>
      </c>
      <c r="F7" s="12" t="n">
        <v>740890</v>
      </c>
      <c r="G7" s="35">
        <f>(E7-C7)/C7</f>
        <v/>
      </c>
      <c r="H7" s="35">
        <f>(F7-D7)/D7</f>
        <v/>
      </c>
    </row>
    <row r="8" ht="20" customHeight="1">
      <c r="A8" s="15" t="n">
        <v>4</v>
      </c>
      <c r="B8" s="16" t="inlineStr">
        <is>
          <t>April</t>
        </is>
      </c>
      <c r="C8" s="17" t="n">
        <v>1055722</v>
      </c>
      <c r="D8" s="17" t="n">
        <v>940390</v>
      </c>
      <c r="E8" s="21" t="n">
        <v>703980</v>
      </c>
      <c r="F8" s="21" t="n">
        <v>704877</v>
      </c>
      <c r="G8" s="36">
        <f>(E8-C8)/C8</f>
        <v/>
      </c>
      <c r="H8" s="36">
        <f>(F8-D8)/D8</f>
        <v/>
      </c>
    </row>
    <row r="9" ht="20" customHeight="1">
      <c r="A9" s="9" t="n">
        <v>5</v>
      </c>
      <c r="B9" s="10" t="inlineStr">
        <is>
          <t>May</t>
        </is>
      </c>
      <c r="C9" s="11" t="n">
        <v>1308870</v>
      </c>
      <c r="D9" s="11" t="n">
        <v>1461639</v>
      </c>
      <c r="E9" s="12" t="n">
        <v>571390</v>
      </c>
      <c r="F9" s="12" t="n">
        <v>586120</v>
      </c>
      <c r="G9" s="35">
        <f>(E9-C9)/C9</f>
        <v/>
      </c>
      <c r="H9" s="35">
        <f>(F9-D9)/D9</f>
        <v/>
      </c>
    </row>
    <row r="10" ht="20" customHeight="1">
      <c r="A10" s="15" t="n">
        <v>6</v>
      </c>
      <c r="B10" s="16" t="inlineStr">
        <is>
          <t>June</t>
        </is>
      </c>
      <c r="C10" s="17" t="n">
        <v>1339195</v>
      </c>
      <c r="D10" s="17" t="n">
        <v>1461639</v>
      </c>
      <c r="E10" s="21" t="n">
        <v>614800</v>
      </c>
      <c r="F10" s="21" t="n">
        <v>519845</v>
      </c>
      <c r="G10" s="36">
        <f>(E10-C10)/C10</f>
        <v/>
      </c>
      <c r="H10" s="36">
        <f>(F10-D10)/D10</f>
        <v/>
      </c>
    </row>
    <row r="11" ht="20" customHeight="1">
      <c r="A11" s="9" t="n">
        <v>7</v>
      </c>
      <c r="B11" s="10" t="inlineStr">
        <is>
          <t>July</t>
        </is>
      </c>
      <c r="C11" s="11" t="n">
        <v>1238144</v>
      </c>
      <c r="D11" s="11" t="n">
        <v>1236975</v>
      </c>
      <c r="E11" s="12" t="n">
        <v>749455</v>
      </c>
      <c r="F11" s="12" t="n">
        <v>785481</v>
      </c>
      <c r="G11" s="35">
        <f>(E11-C11)/C11</f>
        <v/>
      </c>
      <c r="H11" s="35">
        <f>(F11-D11)/D11</f>
        <v/>
      </c>
    </row>
    <row r="12" ht="20" customHeight="1">
      <c r="A12" s="15" t="n">
        <v>8</v>
      </c>
      <c r="B12" s="16" t="inlineStr">
        <is>
          <t>August</t>
        </is>
      </c>
      <c r="C12" s="17" t="n">
        <v>914813</v>
      </c>
      <c r="D12" s="17" t="n">
        <v>1023095</v>
      </c>
      <c r="E12" s="21" t="n">
        <v>583985</v>
      </c>
      <c r="F12" s="21" t="n">
        <v>596710</v>
      </c>
      <c r="G12" s="36">
        <f>(E12-C12)/C12</f>
        <v/>
      </c>
      <c r="H12" s="36">
        <f>(F12-D12)/D12</f>
        <v/>
      </c>
    </row>
    <row r="13" ht="20" customHeight="1">
      <c r="A13" s="9" t="n">
        <v>9</v>
      </c>
      <c r="B13" s="10" t="inlineStr">
        <is>
          <t>September</t>
        </is>
      </c>
      <c r="C13" s="11" t="n">
        <v>774970</v>
      </c>
      <c r="D13" s="11" t="n">
        <v>958870</v>
      </c>
      <c r="E13" s="12" t="n">
        <v>393329</v>
      </c>
      <c r="F13" s="12" t="n">
        <v>351784</v>
      </c>
      <c r="G13" s="35">
        <f>(E13-C13)/C13</f>
        <v/>
      </c>
      <c r="H13" s="35">
        <f>(F13-D13)/D13</f>
        <v/>
      </c>
    </row>
    <row r="14" ht="20" customHeight="1">
      <c r="A14" s="15" t="n">
        <v>10</v>
      </c>
      <c r="B14" s="16" t="inlineStr">
        <is>
          <t>October</t>
        </is>
      </c>
      <c r="C14" s="17" t="n">
        <v>929965</v>
      </c>
      <c r="D14" s="17" t="n">
        <v>986390</v>
      </c>
      <c r="E14" s="21" t="n">
        <v>604960</v>
      </c>
      <c r="F14" s="21" t="n">
        <v>623785</v>
      </c>
      <c r="G14" s="36">
        <f>(E14-C14)/C14</f>
        <v/>
      </c>
      <c r="H14" s="36">
        <f>(F14-D14)/D14</f>
        <v/>
      </c>
    </row>
    <row r="15" ht="20" customHeight="1">
      <c r="A15" s="9" t="n">
        <v>11</v>
      </c>
      <c r="B15" s="10" t="inlineStr">
        <is>
          <t>November</t>
        </is>
      </c>
      <c r="C15" s="11" t="n">
        <v>1472745</v>
      </c>
      <c r="D15" s="11" t="n">
        <v>1313050</v>
      </c>
      <c r="E15" s="12" t="n">
        <v>625830</v>
      </c>
      <c r="F15" s="12" t="n">
        <v>700800</v>
      </c>
      <c r="G15" s="35">
        <f>(E15-C15)/C15</f>
        <v/>
      </c>
      <c r="H15" s="35">
        <f>(F15-D15)/D15</f>
        <v/>
      </c>
    </row>
    <row r="16" ht="20" customHeight="1">
      <c r="A16" s="15" t="n">
        <v>12</v>
      </c>
      <c r="B16" s="16" t="inlineStr">
        <is>
          <t>December</t>
        </is>
      </c>
      <c r="C16" s="17" t="n">
        <v>1481232</v>
      </c>
      <c r="D16" s="17" t="n">
        <v>1393645</v>
      </c>
      <c r="E16" s="21" t="n">
        <v>766830</v>
      </c>
      <c r="F16" s="21" t="n">
        <v>800800</v>
      </c>
      <c r="G16" s="36">
        <f>(E16-C16)/C16</f>
        <v/>
      </c>
      <c r="H16" s="36">
        <f>(F16-D16)/D16</f>
        <v/>
      </c>
    </row>
    <row r="17" ht="26" customHeight="1">
      <c r="A17" s="25" t="inlineStr">
        <is>
          <t>TOTAL</t>
        </is>
      </c>
      <c r="B17" s="59" t="n"/>
      <c r="C17" s="26">
        <f>SUM(C5:C16)</f>
        <v/>
      </c>
      <c r="D17" s="26">
        <f>SUM(D5:D16)</f>
        <v/>
      </c>
      <c r="E17" s="26">
        <f>SUM(E5:E16)</f>
        <v/>
      </c>
      <c r="F17" s="26">
        <f>SUM(F5:F16)</f>
        <v/>
      </c>
      <c r="G17" s="37">
        <f>(E17-C17)/C17</f>
        <v/>
      </c>
      <c r="H17" s="37">
        <f>(F17-D17)/D17</f>
        <v/>
      </c>
    </row>
    <row r="19" ht="22" customHeight="1">
      <c r="A19" s="38" t="inlineStr">
        <is>
          <t>⚠️ NOTE: Business drop from June 2025 onward due to Owner's Road Accident (Dec 2024). Business managed by Father during recovery period.</t>
        </is>
      </c>
    </row>
  </sheetData>
  <mergeCells count="7">
    <mergeCell ref="A2:H2"/>
    <mergeCell ref="A19:H19"/>
    <mergeCell ref="A17:B17"/>
    <mergeCell ref="A1:H1"/>
    <mergeCell ref="C3:D3"/>
    <mergeCell ref="G3:H3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8" customWidth="1" min="4" max="4"/>
    <col width="18" customWidth="1" min="5" max="5"/>
    <col width="16" customWidth="1" min="6" max="6"/>
    <col width="20" customWidth="1" min="7" max="7"/>
  </cols>
  <sheetData>
    <row r="1" ht="42" customHeight="1">
      <c r="A1" s="39" t="inlineStr">
        <is>
          <t>INFINITY COLLECTION — Customer Ledger &amp; Outstanding Balances</t>
        </is>
      </c>
    </row>
    <row r="2" ht="18" customHeight="1">
      <c r="A2" s="7" t="inlineStr">
        <is>
          <t>B2B Retail Partner Database | Shirdi Region | Outstanding Receivables</t>
        </is>
      </c>
    </row>
    <row r="3">
      <c r="A3" s="8" t="inlineStr">
        <is>
          <t>Sr.</t>
        </is>
      </c>
      <c r="B3" s="8" t="inlineStr">
        <is>
          <t>Customer Name</t>
        </is>
      </c>
      <c r="C3" s="8" t="inlineStr">
        <is>
          <t>Mobile</t>
        </is>
      </c>
      <c r="D3" s="8" t="inlineStr">
        <is>
          <t>Area/Location</t>
        </is>
      </c>
      <c r="E3" s="8" t="inlineStr">
        <is>
          <t>Receivable (₹)</t>
        </is>
      </c>
      <c r="F3" s="8" t="inlineStr">
        <is>
          <t>Status</t>
        </is>
      </c>
      <c r="G3" s="8" t="inlineStr">
        <is>
          <t>Priority</t>
        </is>
      </c>
    </row>
    <row r="4" ht="20" customHeight="1">
      <c r="A4" s="9" t="n">
        <v>1</v>
      </c>
      <c r="B4" s="40" t="inlineStr">
        <is>
          <t>Ajaypalande अजय पाळंदे</t>
        </is>
      </c>
      <c r="C4" s="41" t="inlineStr">
        <is>
          <t>9022916395</t>
        </is>
      </c>
      <c r="D4" s="42" t="inlineStr">
        <is>
          <t>KOTE COMPLEX</t>
        </is>
      </c>
      <c r="E4" s="11" t="n">
        <v>24340</v>
      </c>
      <c r="F4" s="43" t="inlineStr">
        <is>
          <t>MEDIUM</t>
        </is>
      </c>
      <c r="G4" s="42" t="inlineStr">
        <is>
          <t>🟡 Follow-up</t>
        </is>
      </c>
    </row>
    <row r="5" ht="20" customHeight="1">
      <c r="A5" s="15" t="n">
        <v>2</v>
      </c>
      <c r="B5" s="44" t="inlineStr">
        <is>
          <t>Amol Gangurde अमोल ठाकरे</t>
        </is>
      </c>
      <c r="C5" s="45" t="inlineStr">
        <is>
          <t>8975619882</t>
        </is>
      </c>
      <c r="D5" s="46" t="inlineStr">
        <is>
          <t>SHIRDI HIGHWAY</t>
        </is>
      </c>
      <c r="E5" s="17" t="n">
        <v>17100</v>
      </c>
      <c r="F5" s="43" t="inlineStr">
        <is>
          <t>MEDIUM</t>
        </is>
      </c>
      <c r="G5" s="46" t="inlineStr">
        <is>
          <t>🟡 Follow-up</t>
        </is>
      </c>
    </row>
    <row r="6" ht="20" customHeight="1">
      <c r="A6" s="9" t="n">
        <v>3</v>
      </c>
      <c r="B6" s="40" t="inlineStr">
        <is>
          <t>Amolkhillari अमोल खिल्लारी</t>
        </is>
      </c>
      <c r="C6" s="41" t="inlineStr">
        <is>
          <t>9325199418</t>
        </is>
      </c>
      <c r="D6" s="42" t="inlineStr">
        <is>
          <t>KOTE COMPLEX</t>
        </is>
      </c>
      <c r="E6" s="12" t="n">
        <v>9375</v>
      </c>
      <c r="F6" s="47" t="inlineStr">
        <is>
          <t>LOW</t>
        </is>
      </c>
      <c r="G6" s="42" t="inlineStr">
        <is>
          <t>🟢 Settled</t>
        </is>
      </c>
    </row>
    <row r="7" ht="20" customHeight="1">
      <c r="A7" s="15" t="n">
        <v>4</v>
      </c>
      <c r="B7" s="44" t="inlineStr">
        <is>
          <t>Amolpatre अमोल पात्रे</t>
        </is>
      </c>
      <c r="C7" s="45" t="inlineStr"/>
      <c r="D7" s="46" t="inlineStr">
        <is>
          <t>BHOJANALAY</t>
        </is>
      </c>
      <c r="E7" s="21" t="n">
        <v>850</v>
      </c>
      <c r="F7" s="47" t="inlineStr">
        <is>
          <t>LOW</t>
        </is>
      </c>
      <c r="G7" s="46" t="inlineStr">
        <is>
          <t>🟢 Settled</t>
        </is>
      </c>
    </row>
    <row r="8" ht="20" customHeight="1">
      <c r="A8" s="9" t="n">
        <v>5</v>
      </c>
      <c r="B8" s="40" t="inlineStr">
        <is>
          <t>Anil kolge अनिल कोळगे</t>
        </is>
      </c>
      <c r="C8" s="41" t="inlineStr"/>
      <c r="D8" s="42" t="inlineStr">
        <is>
          <t>SHIRDI</t>
        </is>
      </c>
      <c r="E8" s="12" t="n">
        <v>665</v>
      </c>
      <c r="F8" s="47" t="inlineStr">
        <is>
          <t>LOW</t>
        </is>
      </c>
      <c r="G8" s="42" t="inlineStr">
        <is>
          <t>🟢 Settled</t>
        </is>
      </c>
    </row>
    <row r="9" ht="20" customHeight="1">
      <c r="A9" s="15" t="n">
        <v>6</v>
      </c>
      <c r="B9" s="44" t="inlineStr">
        <is>
          <t>Arjun suranje अर्जुन सुरंजे</t>
        </is>
      </c>
      <c r="C9" s="45" t="inlineStr"/>
      <c r="D9" s="46" t="inlineStr">
        <is>
          <t>SHIRDI HIGHWAY</t>
        </is>
      </c>
      <c r="E9" s="21" t="n">
        <v>4910</v>
      </c>
      <c r="F9" s="47" t="inlineStr">
        <is>
          <t>LOW</t>
        </is>
      </c>
      <c r="G9" s="46" t="inlineStr">
        <is>
          <t>🟢 Settled</t>
        </is>
      </c>
    </row>
    <row r="10" ht="20" customHeight="1">
      <c r="A10" s="9" t="n">
        <v>7</v>
      </c>
      <c r="B10" s="40" t="inlineStr">
        <is>
          <t>Arshad Bhai bhoj अरशाद भोजनालय</t>
        </is>
      </c>
      <c r="C10" s="41" t="inlineStr">
        <is>
          <t>7666366585</t>
        </is>
      </c>
      <c r="D10" s="42" t="inlineStr">
        <is>
          <t>BHOJANALAY</t>
        </is>
      </c>
      <c r="E10" s="11" t="n">
        <v>36185</v>
      </c>
      <c r="F10" s="43" t="inlineStr">
        <is>
          <t>MEDIUM</t>
        </is>
      </c>
      <c r="G10" s="42" t="inlineStr">
        <is>
          <t>🟡 Follow-up</t>
        </is>
      </c>
    </row>
    <row r="11" ht="20" customHeight="1">
      <c r="A11" s="15" t="n">
        <v>8</v>
      </c>
      <c r="B11" s="44" t="inlineStr">
        <is>
          <t>Arshadbhai अरशदभाई कोते</t>
        </is>
      </c>
      <c r="C11" s="45" t="inlineStr">
        <is>
          <t>7666366585</t>
        </is>
      </c>
      <c r="D11" s="46" t="inlineStr">
        <is>
          <t>KOTE COMPLEX</t>
        </is>
      </c>
      <c r="E11" s="18" t="n">
        <v>69920</v>
      </c>
      <c r="F11" s="48" t="inlineStr">
        <is>
          <t>HIGH</t>
        </is>
      </c>
      <c r="G11" s="46" t="inlineStr">
        <is>
          <t>🔴 Urgent</t>
        </is>
      </c>
    </row>
    <row r="12" ht="20" customHeight="1">
      <c r="A12" s="9" t="n">
        <v>9</v>
      </c>
      <c r="B12" s="40" t="inlineStr">
        <is>
          <t>Ashifbhai आसिफभाई</t>
        </is>
      </c>
      <c r="C12" s="41" t="inlineStr">
        <is>
          <t>9156351375</t>
        </is>
      </c>
      <c r="D12" s="42" t="inlineStr">
        <is>
          <t>KOTE COMPLEX</t>
        </is>
      </c>
      <c r="E12" s="11" t="n">
        <v>18070</v>
      </c>
      <c r="F12" s="43" t="inlineStr">
        <is>
          <t>MEDIUM</t>
        </is>
      </c>
      <c r="G12" s="42" t="inlineStr">
        <is>
          <t>🟡 Follow-up</t>
        </is>
      </c>
    </row>
    <row r="13" ht="20" customHeight="1">
      <c r="A13" s="15" t="n">
        <v>10</v>
      </c>
      <c r="B13" s="44" t="inlineStr">
        <is>
          <t>Bablu Kamble बबलू कांबळे</t>
        </is>
      </c>
      <c r="C13" s="45" t="inlineStr">
        <is>
          <t>9850123106</t>
        </is>
      </c>
      <c r="D13" s="46" t="inlineStr">
        <is>
          <t>SHIRDI HIGHWAY</t>
        </is>
      </c>
      <c r="E13" s="17" t="n">
        <v>17060</v>
      </c>
      <c r="F13" s="43" t="inlineStr">
        <is>
          <t>MEDIUM</t>
        </is>
      </c>
      <c r="G13" s="46" t="inlineStr">
        <is>
          <t>🟡 Follow-up</t>
        </is>
      </c>
    </row>
    <row r="14" ht="20" customHeight="1">
      <c r="A14" s="9" t="n">
        <v>11</v>
      </c>
      <c r="B14" s="40" t="inlineStr">
        <is>
          <t>Balaji wankhede बालाजी वानखेडे</t>
        </is>
      </c>
      <c r="C14" s="41" t="inlineStr"/>
      <c r="D14" s="42" t="inlineStr">
        <is>
          <t>DWARKAMAI</t>
        </is>
      </c>
      <c r="E14" s="11" t="n">
        <v>17650</v>
      </c>
      <c r="F14" s="43" t="inlineStr">
        <is>
          <t>MEDIUM</t>
        </is>
      </c>
      <c r="G14" s="42" t="inlineStr">
        <is>
          <t>🟡 Follow-up</t>
        </is>
      </c>
    </row>
    <row r="15" ht="20" customHeight="1">
      <c r="A15" s="15" t="n">
        <v>12</v>
      </c>
      <c r="B15" s="44" t="inlineStr">
        <is>
          <t>Balam Bhai बालमभाई</t>
        </is>
      </c>
      <c r="C15" s="45" t="inlineStr">
        <is>
          <t>8208767067</t>
        </is>
      </c>
      <c r="D15" s="46" t="inlineStr">
        <is>
          <t>DWARKAMAI</t>
        </is>
      </c>
      <c r="E15" s="17" t="n">
        <v>10655</v>
      </c>
      <c r="F15" s="43" t="inlineStr">
        <is>
          <t>MEDIUM</t>
        </is>
      </c>
      <c r="G15" s="46" t="inlineStr">
        <is>
          <t>🟡 Follow-up</t>
        </is>
      </c>
    </row>
    <row r="16" ht="20" customHeight="1">
      <c r="A16" s="9" t="n">
        <v>13</v>
      </c>
      <c r="B16" s="40" t="inlineStr">
        <is>
          <t>Balasaheb Chavhan बाळासाहेब चव्हाण</t>
        </is>
      </c>
      <c r="C16" s="41" t="inlineStr">
        <is>
          <t>8788841433</t>
        </is>
      </c>
      <c r="D16" s="42" t="inlineStr">
        <is>
          <t>SHIRDI HIGHWAY</t>
        </is>
      </c>
      <c r="E16" s="11" t="n">
        <v>16555</v>
      </c>
      <c r="F16" s="43" t="inlineStr">
        <is>
          <t>MEDIUM</t>
        </is>
      </c>
      <c r="G16" s="42" t="inlineStr">
        <is>
          <t>🟡 Follow-up</t>
        </is>
      </c>
    </row>
    <row r="17" ht="20" customHeight="1">
      <c r="A17" s="15" t="n">
        <v>14</v>
      </c>
      <c r="B17" s="44" t="inlineStr">
        <is>
          <t>Bandanmore बंधन मोरे</t>
        </is>
      </c>
      <c r="C17" s="45" t="inlineStr">
        <is>
          <t>7498534351</t>
        </is>
      </c>
      <c r="D17" s="46" t="inlineStr">
        <is>
          <t>KOTE COMPLEX</t>
        </is>
      </c>
      <c r="E17" s="21" t="n">
        <v>5320</v>
      </c>
      <c r="F17" s="47" t="inlineStr">
        <is>
          <t>LOW</t>
        </is>
      </c>
      <c r="G17" s="46" t="inlineStr">
        <is>
          <t>🟢 Settled</t>
        </is>
      </c>
    </row>
    <row r="18" ht="20" customHeight="1">
      <c r="A18" s="9" t="n">
        <v>15</v>
      </c>
      <c r="B18" s="40" t="inlineStr">
        <is>
          <t>Baviskar बावीसकर</t>
        </is>
      </c>
      <c r="C18" s="41" t="inlineStr">
        <is>
          <t>9604137163</t>
        </is>
      </c>
      <c r="D18" s="42" t="inlineStr">
        <is>
          <t>DWARKAMAI</t>
        </is>
      </c>
      <c r="E18" s="12" t="n">
        <v>5060</v>
      </c>
      <c r="F18" s="47" t="inlineStr">
        <is>
          <t>LOW</t>
        </is>
      </c>
      <c r="G18" s="42" t="inlineStr">
        <is>
          <t>🟢 Settled</t>
        </is>
      </c>
    </row>
    <row r="19" ht="20" customHeight="1">
      <c r="A19" s="15" t="n">
        <v>16</v>
      </c>
      <c r="B19" s="44" t="inlineStr">
        <is>
          <t>Bhadange भडंगे</t>
        </is>
      </c>
      <c r="C19" s="45" t="inlineStr"/>
      <c r="D19" s="46" t="inlineStr">
        <is>
          <t>KOTE COMPLEX</t>
        </is>
      </c>
      <c r="E19" s="21" t="n">
        <v>2100</v>
      </c>
      <c r="F19" s="47" t="inlineStr">
        <is>
          <t>LOW</t>
        </is>
      </c>
      <c r="G19" s="46" t="inlineStr">
        <is>
          <t>🟢 Settled</t>
        </is>
      </c>
    </row>
    <row r="20" ht="20" customHeight="1">
      <c r="A20" s="9" t="n">
        <v>17</v>
      </c>
      <c r="B20" s="40" t="inlineStr">
        <is>
          <t>Bharatthorat भारत थोरात</t>
        </is>
      </c>
      <c r="C20" s="41" t="inlineStr">
        <is>
          <t>7447354363</t>
        </is>
      </c>
      <c r="D20" s="42" t="inlineStr">
        <is>
          <t>SAI COMPLEX</t>
        </is>
      </c>
      <c r="E20" s="12" t="n">
        <v>920</v>
      </c>
      <c r="F20" s="47" t="inlineStr">
        <is>
          <t>LOW</t>
        </is>
      </c>
      <c r="G20" s="42" t="inlineStr">
        <is>
          <t>🟢 Settled</t>
        </is>
      </c>
    </row>
    <row r="21" ht="20" customHeight="1">
      <c r="A21" s="15" t="n">
        <v>18</v>
      </c>
      <c r="B21" s="44" t="inlineStr">
        <is>
          <t>Bhushan ahire भूषण अहिरे</t>
        </is>
      </c>
      <c r="C21" s="45" t="inlineStr">
        <is>
          <t>7798911253</t>
        </is>
      </c>
      <c r="D21" s="46" t="inlineStr">
        <is>
          <t>SHIRDI</t>
        </is>
      </c>
      <c r="E21" s="21" t="n">
        <v>3880</v>
      </c>
      <c r="F21" s="47" t="inlineStr">
        <is>
          <t>LOW</t>
        </is>
      </c>
      <c r="G21" s="46" t="inlineStr">
        <is>
          <t>🟢 Settled</t>
        </is>
      </c>
    </row>
    <row r="22" ht="20" customHeight="1">
      <c r="A22" s="9" t="n">
        <v>19</v>
      </c>
      <c r="B22" s="40" t="inlineStr">
        <is>
          <t>Chandan चंदन</t>
        </is>
      </c>
      <c r="C22" s="41" t="inlineStr">
        <is>
          <t>9990847361</t>
        </is>
      </c>
      <c r="D22" s="42" t="inlineStr">
        <is>
          <t>SHIRDI</t>
        </is>
      </c>
      <c r="E22" s="12" t="n">
        <v>4505</v>
      </c>
      <c r="F22" s="47" t="inlineStr">
        <is>
          <t>LOW</t>
        </is>
      </c>
      <c r="G22" s="42" t="inlineStr">
        <is>
          <t>🟢 Settled</t>
        </is>
      </c>
    </row>
    <row r="23" ht="20" customHeight="1">
      <c r="A23" s="15" t="n">
        <v>20</v>
      </c>
      <c r="B23" s="44" t="inlineStr">
        <is>
          <t>Deepak Mali दीपक माळी</t>
        </is>
      </c>
      <c r="C23" s="45" t="inlineStr">
        <is>
          <t>7020845422</t>
        </is>
      </c>
      <c r="D23" s="46" t="inlineStr">
        <is>
          <t>SHIRDI</t>
        </is>
      </c>
      <c r="E23" s="21" t="n">
        <v>5410</v>
      </c>
      <c r="F23" s="47" t="inlineStr">
        <is>
          <t>LOW</t>
        </is>
      </c>
      <c r="G23" s="46" t="inlineStr">
        <is>
          <t>🟢 Settled</t>
        </is>
      </c>
    </row>
    <row r="24" ht="20" customHeight="1">
      <c r="A24" s="9" t="n">
        <v>21</v>
      </c>
      <c r="B24" s="40" t="inlineStr">
        <is>
          <t>Guddu Sharma</t>
        </is>
      </c>
      <c r="C24" s="41" t="inlineStr">
        <is>
          <t>7387357076</t>
        </is>
      </c>
      <c r="D24" s="42" t="inlineStr">
        <is>
          <t>SHIRDI</t>
        </is>
      </c>
      <c r="E24" s="11" t="n">
        <v>15160</v>
      </c>
      <c r="F24" s="43" t="inlineStr">
        <is>
          <t>MEDIUM</t>
        </is>
      </c>
      <c r="G24" s="42" t="inlineStr">
        <is>
          <t>🟡 Follow-up</t>
        </is>
      </c>
    </row>
    <row r="25" ht="20" customHeight="1">
      <c r="A25" s="15" t="n">
        <v>22</v>
      </c>
      <c r="B25" s="44" t="inlineStr">
        <is>
          <t>Gupta bai गुप्ताबाई</t>
        </is>
      </c>
      <c r="C25" s="45" t="inlineStr"/>
      <c r="D25" s="46" t="inlineStr">
        <is>
          <t>SHIRDI</t>
        </is>
      </c>
      <c r="E25" s="17" t="n">
        <v>12270</v>
      </c>
      <c r="F25" s="43" t="inlineStr">
        <is>
          <t>MEDIUM</t>
        </is>
      </c>
      <c r="G25" s="46" t="inlineStr">
        <is>
          <t>🟡 Follow-up</t>
        </is>
      </c>
    </row>
    <row r="26" ht="20" customHeight="1">
      <c r="A26" s="9" t="n">
        <v>23</v>
      </c>
      <c r="B26" s="40" t="inlineStr">
        <is>
          <t>Husenbhai हुसेनभाई</t>
        </is>
      </c>
      <c r="C26" s="41" t="inlineStr">
        <is>
          <t>9822537183</t>
        </is>
      </c>
      <c r="D26" s="42" t="inlineStr">
        <is>
          <t>SHIRDI</t>
        </is>
      </c>
      <c r="E26" s="11" t="n">
        <v>43420</v>
      </c>
      <c r="F26" s="43" t="inlineStr">
        <is>
          <t>MEDIUM</t>
        </is>
      </c>
      <c r="G26" s="42" t="inlineStr">
        <is>
          <t>🟡 Follow-up</t>
        </is>
      </c>
    </row>
    <row r="27" ht="20" customHeight="1">
      <c r="A27" s="15" t="n">
        <v>24</v>
      </c>
      <c r="B27" s="44" t="inlineStr">
        <is>
          <t>Jagtap जगताप</t>
        </is>
      </c>
      <c r="C27" s="45" t="inlineStr">
        <is>
          <t>7350100505</t>
        </is>
      </c>
      <c r="D27" s="46" t="inlineStr">
        <is>
          <t>SHIRDI</t>
        </is>
      </c>
      <c r="E27" s="21" t="n">
        <v>9360</v>
      </c>
      <c r="F27" s="47" t="inlineStr">
        <is>
          <t>LOW</t>
        </is>
      </c>
      <c r="G27" s="46" t="inlineStr">
        <is>
          <t>🟢 Settled</t>
        </is>
      </c>
    </row>
    <row r="28" ht="20" customHeight="1">
      <c r="A28" s="9" t="n">
        <v>25</v>
      </c>
      <c r="B28" s="40" t="inlineStr">
        <is>
          <t>Kumar bhor कुमार भोर</t>
        </is>
      </c>
      <c r="C28" s="41" t="inlineStr">
        <is>
          <t>8484945193</t>
        </is>
      </c>
      <c r="D28" s="42" t="inlineStr">
        <is>
          <t>SHIRDI</t>
        </is>
      </c>
      <c r="E28" s="11" t="n">
        <v>13695</v>
      </c>
      <c r="F28" s="43" t="inlineStr">
        <is>
          <t>MEDIUM</t>
        </is>
      </c>
      <c r="G28" s="42" t="inlineStr">
        <is>
          <t>🟡 Follow-up</t>
        </is>
      </c>
    </row>
    <row r="29" ht="20" customHeight="1">
      <c r="A29" s="15" t="n">
        <v>26</v>
      </c>
      <c r="B29" s="44" t="inlineStr">
        <is>
          <t>Madanbhai मदनभाई</t>
        </is>
      </c>
      <c r="C29" s="45" t="inlineStr">
        <is>
          <t>7387158513</t>
        </is>
      </c>
      <c r="D29" s="46" t="inlineStr">
        <is>
          <t>SHIRDI</t>
        </is>
      </c>
      <c r="E29" s="17" t="n">
        <v>11480</v>
      </c>
      <c r="F29" s="43" t="inlineStr">
        <is>
          <t>MEDIUM</t>
        </is>
      </c>
      <c r="G29" s="46" t="inlineStr">
        <is>
          <t>🟡 Follow-up</t>
        </is>
      </c>
    </row>
    <row r="30" ht="20" customHeight="1">
      <c r="A30" s="9" t="n">
        <v>27</v>
      </c>
      <c r="B30" s="40" t="inlineStr">
        <is>
          <t>Meenabai मिनाबाई</t>
        </is>
      </c>
      <c r="C30" s="41" t="inlineStr"/>
      <c r="D30" s="42" t="inlineStr">
        <is>
          <t>SHIRDI</t>
        </is>
      </c>
      <c r="E30" s="11" t="n">
        <v>15725</v>
      </c>
      <c r="F30" s="43" t="inlineStr">
        <is>
          <t>MEDIUM</t>
        </is>
      </c>
      <c r="G30" s="42" t="inlineStr">
        <is>
          <t>🟡 Follow-up</t>
        </is>
      </c>
    </row>
    <row r="31" ht="20" customHeight="1">
      <c r="A31" s="15" t="n">
        <v>28</v>
      </c>
      <c r="B31" s="44" t="inlineStr">
        <is>
          <t>Nisarbhai Pathan निसारभाई पठाण</t>
        </is>
      </c>
      <c r="C31" s="45" t="inlineStr">
        <is>
          <t>9834088802</t>
        </is>
      </c>
      <c r="D31" s="46" t="inlineStr">
        <is>
          <t>SHIRDI</t>
        </is>
      </c>
      <c r="E31" s="17" t="n">
        <v>28420</v>
      </c>
      <c r="F31" s="43" t="inlineStr">
        <is>
          <t>MEDIUM</t>
        </is>
      </c>
      <c r="G31" s="46" t="inlineStr">
        <is>
          <t>🟡 Follow-up</t>
        </is>
      </c>
    </row>
    <row r="32" ht="20" customHeight="1">
      <c r="A32" s="9" t="n">
        <v>29</v>
      </c>
      <c r="B32" s="40" t="inlineStr">
        <is>
          <t>Pravinbhau gate no-01</t>
        </is>
      </c>
      <c r="C32" s="41" t="inlineStr">
        <is>
          <t>9075156339</t>
        </is>
      </c>
      <c r="D32" s="42" t="inlineStr">
        <is>
          <t>SHIRDI MAIN</t>
        </is>
      </c>
      <c r="E32" s="23" t="n">
        <v>66800</v>
      </c>
      <c r="F32" s="48" t="inlineStr">
        <is>
          <t>HIGH</t>
        </is>
      </c>
      <c r="G32" s="42" t="inlineStr">
        <is>
          <t>🔴 Urgent</t>
        </is>
      </c>
    </row>
    <row r="33" ht="20" customHeight="1">
      <c r="A33" s="15" t="n">
        <v>30</v>
      </c>
      <c r="B33" s="44" t="inlineStr">
        <is>
          <t>Ravi Arane रवि आरणे</t>
        </is>
      </c>
      <c r="C33" s="45" t="inlineStr">
        <is>
          <t>9822773118</t>
        </is>
      </c>
      <c r="D33" s="46" t="inlineStr">
        <is>
          <t>SHIRDI</t>
        </is>
      </c>
      <c r="E33" s="17" t="n">
        <v>23889</v>
      </c>
      <c r="F33" s="43" t="inlineStr">
        <is>
          <t>MEDIUM</t>
        </is>
      </c>
      <c r="G33" s="46" t="inlineStr">
        <is>
          <t>🟡 Follow-up</t>
        </is>
      </c>
    </row>
    <row r="34" ht="20" customHeight="1">
      <c r="A34" s="9" t="n">
        <v>31</v>
      </c>
      <c r="B34" s="40" t="inlineStr">
        <is>
          <t>Sachin harde सचिन हारदे</t>
        </is>
      </c>
      <c r="C34" s="41" t="inlineStr"/>
      <c r="D34" s="42" t="inlineStr">
        <is>
          <t>SHIRDI</t>
        </is>
      </c>
      <c r="E34" s="23" t="n">
        <v>56230</v>
      </c>
      <c r="F34" s="48" t="inlineStr">
        <is>
          <t>HIGH</t>
        </is>
      </c>
      <c r="G34" s="42" t="inlineStr">
        <is>
          <t>🔴 Urgent</t>
        </is>
      </c>
    </row>
    <row r="35" ht="20" customHeight="1">
      <c r="A35" s="15" t="n">
        <v>32</v>
      </c>
      <c r="B35" s="44" t="inlineStr">
        <is>
          <t>Sachinाhire सचिन अहिरे</t>
        </is>
      </c>
      <c r="C35" s="45" t="inlineStr">
        <is>
          <t>7666772897</t>
        </is>
      </c>
      <c r="D35" s="46" t="inlineStr">
        <is>
          <t>SHIRDI</t>
        </is>
      </c>
      <c r="E35" s="17" t="n">
        <v>11560</v>
      </c>
      <c r="F35" s="43" t="inlineStr">
        <is>
          <t>MEDIUM</t>
        </is>
      </c>
      <c r="G35" s="46" t="inlineStr">
        <is>
          <t>🟡 Follow-up</t>
        </is>
      </c>
    </row>
    <row r="36" ht="20" customHeight="1">
      <c r="A36" s="9" t="n">
        <v>33</v>
      </c>
      <c r="B36" s="40" t="inlineStr">
        <is>
          <t>Sagar Mali सागर माळी</t>
        </is>
      </c>
      <c r="C36" s="41" t="inlineStr">
        <is>
          <t>9545398535</t>
        </is>
      </c>
      <c r="D36" s="42" t="inlineStr">
        <is>
          <t>SHIRDI</t>
        </is>
      </c>
      <c r="E36" s="11" t="n">
        <v>24910</v>
      </c>
      <c r="F36" s="43" t="inlineStr">
        <is>
          <t>MEDIUM</t>
        </is>
      </c>
      <c r="G36" s="42" t="inlineStr">
        <is>
          <t>🟡 Follow-up</t>
        </is>
      </c>
    </row>
    <row r="37" ht="20" customHeight="1">
      <c r="A37" s="15" t="n">
        <v>34</v>
      </c>
      <c r="B37" s="44" t="inlineStr">
        <is>
          <t>Sahebrav gangurde साहेबराव गांगुर्डे</t>
        </is>
      </c>
      <c r="C37" s="45" t="inlineStr"/>
      <c r="D37" s="46" t="inlineStr">
        <is>
          <t>SHIRDI</t>
        </is>
      </c>
      <c r="E37" s="17" t="n">
        <v>31570</v>
      </c>
      <c r="F37" s="43" t="inlineStr">
        <is>
          <t>MEDIUM</t>
        </is>
      </c>
      <c r="G37" s="46" t="inlineStr">
        <is>
          <t>🟡 Follow-up</t>
        </is>
      </c>
    </row>
    <row r="38" ht="20" customHeight="1">
      <c r="A38" s="9" t="n">
        <v>35</v>
      </c>
      <c r="B38" s="40" t="inlineStr">
        <is>
          <t>Sainath Gangurde साईनाथ गांगुर्डे</t>
        </is>
      </c>
      <c r="C38" s="41" t="inlineStr">
        <is>
          <t>7507892223</t>
        </is>
      </c>
      <c r="D38" s="42" t="inlineStr">
        <is>
          <t>SHIRDI</t>
        </is>
      </c>
      <c r="E38" s="12" t="n">
        <v>529</v>
      </c>
      <c r="F38" s="47" t="inlineStr">
        <is>
          <t>LOW</t>
        </is>
      </c>
      <c r="G38" s="42" t="inlineStr">
        <is>
          <t>🟢 Settled</t>
        </is>
      </c>
    </row>
    <row r="39" ht="20" customHeight="1">
      <c r="A39" s="15" t="n">
        <v>36</v>
      </c>
      <c r="B39" s="44" t="inlineStr">
        <is>
          <t>Saipalakhi bag साईपालखी बॅग</t>
        </is>
      </c>
      <c r="C39" s="45" t="inlineStr"/>
      <c r="D39" s="46" t="inlineStr">
        <is>
          <t>SHIRDI</t>
        </is>
      </c>
      <c r="E39" s="17" t="n">
        <v>15314</v>
      </c>
      <c r="F39" s="43" t="inlineStr">
        <is>
          <t>MEDIUM</t>
        </is>
      </c>
      <c r="G39" s="46" t="inlineStr">
        <is>
          <t>🟡 Follow-up</t>
        </is>
      </c>
    </row>
    <row r="40" ht="20" customHeight="1">
      <c r="A40" s="9" t="n">
        <v>37</v>
      </c>
      <c r="B40" s="40" t="inlineStr">
        <is>
          <t>Saipalkhi chappal साईपलखी चप्पल</t>
        </is>
      </c>
      <c r="C40" s="41" t="inlineStr"/>
      <c r="D40" s="42" t="inlineStr">
        <is>
          <t>SHIRDI</t>
        </is>
      </c>
      <c r="E40" s="23" t="n">
        <v>65540</v>
      </c>
      <c r="F40" s="48" t="inlineStr">
        <is>
          <t>HIGH</t>
        </is>
      </c>
      <c r="G40" s="42" t="inlineStr">
        <is>
          <t>🔴 Urgent</t>
        </is>
      </c>
    </row>
    <row r="41" ht="20" customHeight="1">
      <c r="A41" s="15" t="n">
        <v>38</v>
      </c>
      <c r="B41" s="44" t="inlineStr">
        <is>
          <t>Sandeep Chavhan संदीप चव्हाण</t>
        </is>
      </c>
      <c r="C41" s="45" t="inlineStr">
        <is>
          <t>7620770544</t>
        </is>
      </c>
      <c r="D41" s="46" t="inlineStr">
        <is>
          <t>SHIRDI</t>
        </is>
      </c>
      <c r="E41" s="17" t="n">
        <v>24380</v>
      </c>
      <c r="F41" s="43" t="inlineStr">
        <is>
          <t>MEDIUM</t>
        </is>
      </c>
      <c r="G41" s="46" t="inlineStr">
        <is>
          <t>🟡 Follow-up</t>
        </is>
      </c>
    </row>
    <row r="42" ht="20" customHeight="1">
      <c r="A42" s="9" t="n">
        <v>39</v>
      </c>
      <c r="B42" s="40" t="inlineStr">
        <is>
          <t>Shivaji Pawar शिवाजी पवार</t>
        </is>
      </c>
      <c r="C42" s="41" t="inlineStr">
        <is>
          <t>7774873878</t>
        </is>
      </c>
      <c r="D42" s="42" t="inlineStr">
        <is>
          <t>SHIRDI</t>
        </is>
      </c>
      <c r="E42" s="11" t="n">
        <v>35026</v>
      </c>
      <c r="F42" s="43" t="inlineStr">
        <is>
          <t>MEDIUM</t>
        </is>
      </c>
      <c r="G42" s="42" t="inlineStr">
        <is>
          <t>🟡 Follow-up</t>
        </is>
      </c>
    </row>
    <row r="43" ht="20" customHeight="1">
      <c r="A43" s="15" t="n">
        <v>40</v>
      </c>
      <c r="B43" s="44" t="inlineStr">
        <is>
          <t>Shivaji turakne शिवाजी तुरकणे</t>
        </is>
      </c>
      <c r="C43" s="45" t="inlineStr"/>
      <c r="D43" s="46" t="inlineStr">
        <is>
          <t>SHIRDI</t>
        </is>
      </c>
      <c r="E43" s="21" t="n">
        <v>2500</v>
      </c>
      <c r="F43" s="47" t="inlineStr">
        <is>
          <t>LOW</t>
        </is>
      </c>
      <c r="G43" s="46" t="inlineStr">
        <is>
          <t>🟢 Settled</t>
        </is>
      </c>
    </row>
    <row r="44" ht="20" customHeight="1">
      <c r="A44" s="9" t="n">
        <v>41</v>
      </c>
      <c r="B44" s="40" t="inlineStr">
        <is>
          <t>Tribhuvan bhau त्रिभुवन भाऊ</t>
        </is>
      </c>
      <c r="C44" s="41" t="inlineStr">
        <is>
          <t>8888808980</t>
        </is>
      </c>
      <c r="D44" s="42" t="inlineStr">
        <is>
          <t>SHIRDI</t>
        </is>
      </c>
      <c r="E44" s="11" t="n">
        <v>18600</v>
      </c>
      <c r="F44" s="43" t="inlineStr">
        <is>
          <t>MEDIUM</t>
        </is>
      </c>
      <c r="G44" s="42" t="inlineStr">
        <is>
          <t>🟡 Follow-up</t>
        </is>
      </c>
    </row>
    <row r="45" ht="20" customHeight="1">
      <c r="A45" s="15" t="n">
        <v>42</v>
      </c>
      <c r="B45" s="44" t="inlineStr">
        <is>
          <t>Vijay ahire विजय अहिरे</t>
        </is>
      </c>
      <c r="C45" s="45" t="inlineStr"/>
      <c r="D45" s="46" t="inlineStr">
        <is>
          <t>SHIRDI</t>
        </is>
      </c>
      <c r="E45" s="21" t="n">
        <v>7000</v>
      </c>
      <c r="F45" s="47" t="inlineStr">
        <is>
          <t>LOW</t>
        </is>
      </c>
      <c r="G45" s="46" t="inlineStr">
        <is>
          <t>🟢 Settled</t>
        </is>
      </c>
    </row>
    <row r="46" ht="20" customHeight="1">
      <c r="A46" s="9" t="n">
        <v>43</v>
      </c>
      <c r="B46" s="40" t="inlineStr">
        <is>
          <t>Vikaspawar विकास पवार</t>
        </is>
      </c>
      <c r="C46" s="41" t="inlineStr"/>
      <c r="D46" s="42" t="inlineStr">
        <is>
          <t>SHIRDI</t>
        </is>
      </c>
      <c r="E46" s="11" t="n">
        <v>13150</v>
      </c>
      <c r="F46" s="43" t="inlineStr">
        <is>
          <t>MEDIUM</t>
        </is>
      </c>
      <c r="G46" s="42" t="inlineStr">
        <is>
          <t>🟡 Follow-up</t>
        </is>
      </c>
    </row>
    <row r="47" ht="20" customHeight="1">
      <c r="A47" s="15" t="n">
        <v>44</v>
      </c>
      <c r="B47" s="44" t="inlineStr">
        <is>
          <t>Vilas tupe विलास तुपे</t>
        </is>
      </c>
      <c r="C47" s="45" t="inlineStr">
        <is>
          <t>9763598394</t>
        </is>
      </c>
      <c r="D47" s="46" t="inlineStr">
        <is>
          <t>SHIRDI</t>
        </is>
      </c>
      <c r="E47" s="17" t="n">
        <v>19760</v>
      </c>
      <c r="F47" s="43" t="inlineStr">
        <is>
          <t>MEDIUM</t>
        </is>
      </c>
      <c r="G47" s="46" t="inlineStr">
        <is>
          <t>🟡 Follow-up</t>
        </is>
      </c>
    </row>
    <row r="48" ht="20" customHeight="1">
      <c r="A48" s="9" t="n">
        <v>45</v>
      </c>
      <c r="B48" s="40" t="inlineStr">
        <is>
          <t>Virendrachaudhari विरेंद्र चौधरी</t>
        </is>
      </c>
      <c r="C48" s="41" t="inlineStr">
        <is>
          <t>8600997366</t>
        </is>
      </c>
      <c r="D48" s="42" t="inlineStr">
        <is>
          <t>SHIRDI</t>
        </is>
      </c>
      <c r="E48" s="12" t="n">
        <v>3830</v>
      </c>
      <c r="F48" s="47" t="inlineStr">
        <is>
          <t>LOW</t>
        </is>
      </c>
      <c r="G48" s="42" t="inlineStr">
        <is>
          <t>🟢 Settled</t>
        </is>
      </c>
    </row>
    <row r="49" ht="20" customHeight="1">
      <c r="A49" s="15" t="n">
        <v>46</v>
      </c>
      <c r="B49" s="44" t="inlineStr">
        <is>
          <t>Vishalnagpure विशाल नागपुरे</t>
        </is>
      </c>
      <c r="C49" s="45" t="inlineStr">
        <is>
          <t>8411811501</t>
        </is>
      </c>
      <c r="D49" s="46" t="inlineStr">
        <is>
          <t>SHIRDI</t>
        </is>
      </c>
      <c r="E49" s="17" t="n">
        <v>23405</v>
      </c>
      <c r="F49" s="43" t="inlineStr">
        <is>
          <t>MEDIUM</t>
        </is>
      </c>
      <c r="G49" s="46" t="inlineStr">
        <is>
          <t>🟡 Follow-up</t>
        </is>
      </c>
    </row>
    <row r="50" ht="20" customHeight="1">
      <c r="A50" s="9" t="n">
        <v>47</v>
      </c>
      <c r="B50" s="40" t="inlineStr">
        <is>
          <t>Yogesh kamble योगेश कांबळे</t>
        </is>
      </c>
      <c r="C50" s="41" t="inlineStr"/>
      <c r="D50" s="42" t="inlineStr">
        <is>
          <t>SHIRDI</t>
        </is>
      </c>
      <c r="E50" s="11" t="n">
        <v>21010</v>
      </c>
      <c r="F50" s="43" t="inlineStr">
        <is>
          <t>MEDIUM</t>
        </is>
      </c>
      <c r="G50" s="42" t="inlineStr">
        <is>
          <t>🟡 Follow-up</t>
        </is>
      </c>
    </row>
    <row r="51" ht="24" customHeight="1">
      <c r="A51" s="25" t="inlineStr">
        <is>
          <t>TOTAL OUTSTANDING RECEIVABLE</t>
        </is>
      </c>
      <c r="B51" s="61" t="n"/>
      <c r="C51" s="61" t="n"/>
      <c r="D51" s="59" t="n"/>
      <c r="E51" s="26">
        <f>SUM(E4:E50)</f>
        <v/>
      </c>
      <c r="F51" s="49" t="n"/>
      <c r="G51" s="49" t="n"/>
    </row>
  </sheetData>
  <mergeCells count="3">
    <mergeCell ref="A2:G2"/>
    <mergeCell ref="A1:G1"/>
    <mergeCell ref="A51:D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8" customWidth="1" min="4" max="4"/>
    <col width="20" customWidth="1" min="5" max="5"/>
    <col width="20" customWidth="1" min="6" max="6"/>
  </cols>
  <sheetData>
    <row r="1" ht="42" customHeight="1">
      <c r="A1" s="39" t="inlineStr">
        <is>
          <t>INFINITY COLLECTION — Supplier Payable Ledger</t>
        </is>
      </c>
    </row>
    <row r="2">
      <c r="A2" s="50" t="inlineStr">
        <is>
          <t>Supplier Outstanding Payables | Stock Procurement Dues</t>
        </is>
      </c>
    </row>
    <row r="3">
      <c r="A3" s="8" t="inlineStr">
        <is>
          <t>Sr.</t>
        </is>
      </c>
      <c r="B3" s="8" t="inlineStr">
        <is>
          <t>Supplier Name</t>
        </is>
      </c>
      <c r="C3" s="8" t="inlineStr">
        <is>
          <t>Mobile</t>
        </is>
      </c>
      <c r="D3" s="8" t="inlineStr">
        <is>
          <t>Category</t>
        </is>
      </c>
      <c r="E3" s="8" t="inlineStr">
        <is>
          <t>Payable (₹)</t>
        </is>
      </c>
      <c r="F3" s="8" t="inlineStr">
        <is>
          <t>Priority</t>
        </is>
      </c>
    </row>
    <row r="4" ht="22" customHeight="1">
      <c r="A4" s="9" t="n">
        <v>1</v>
      </c>
      <c r="B4" s="51" t="inlineStr">
        <is>
          <t>Kartik kamble</t>
        </is>
      </c>
      <c r="C4" s="41" t="inlineStr"/>
      <c r="D4" s="42" t="inlineStr">
        <is>
          <t>Footwear Supplier</t>
        </is>
      </c>
      <c r="E4" s="52" t="n">
        <v>200555</v>
      </c>
      <c r="F4" s="48" t="inlineStr">
        <is>
          <t>🔴 Critical</t>
        </is>
      </c>
    </row>
    <row r="5" ht="22" customHeight="1">
      <c r="A5" s="15" t="n">
        <v>2</v>
      </c>
      <c r="B5" s="53" t="inlineStr">
        <is>
          <t>Akash Regar</t>
        </is>
      </c>
      <c r="C5" s="45" t="inlineStr"/>
      <c r="D5" s="46" t="inlineStr">
        <is>
          <t>Footwear Supplier</t>
        </is>
      </c>
      <c r="E5" s="54" t="n">
        <v>135528</v>
      </c>
      <c r="F5" s="48" t="inlineStr">
        <is>
          <t>🔴 Critical</t>
        </is>
      </c>
    </row>
    <row r="6" ht="22" customHeight="1">
      <c r="A6" s="9" t="n">
        <v>3</v>
      </c>
      <c r="B6" s="51" t="inlineStr">
        <is>
          <t>Jutt bag kolkatta</t>
        </is>
      </c>
      <c r="C6" s="41" t="inlineStr"/>
      <c r="D6" s="42" t="inlineStr">
        <is>
          <t>Bag Supplier</t>
        </is>
      </c>
      <c r="E6" s="52" t="n">
        <v>122377</v>
      </c>
      <c r="F6" s="48" t="inlineStr">
        <is>
          <t>🔴 Critical</t>
        </is>
      </c>
    </row>
    <row r="7" ht="22" customHeight="1">
      <c r="A7" s="15" t="n">
        <v>4</v>
      </c>
      <c r="B7" s="53" t="inlineStr">
        <is>
          <t>Shokatbhai</t>
        </is>
      </c>
      <c r="C7" s="45" t="inlineStr">
        <is>
          <t>9149263947</t>
        </is>
      </c>
      <c r="D7" s="46" t="inlineStr">
        <is>
          <t>General Supplier</t>
        </is>
      </c>
      <c r="E7" s="54" t="n">
        <v>74100</v>
      </c>
      <c r="F7" s="55" t="inlineStr">
        <is>
          <t>🟡 High</t>
        </is>
      </c>
    </row>
    <row r="8" ht="22" customHeight="1">
      <c r="A8" s="9" t="n">
        <v>5</v>
      </c>
      <c r="B8" s="51" t="inlineStr">
        <is>
          <t>Prakash bhai</t>
        </is>
      </c>
      <c r="C8" s="41" t="inlineStr"/>
      <c r="D8" s="42" t="inlineStr">
        <is>
          <t>Footwear Supplier</t>
        </is>
      </c>
      <c r="E8" s="52" t="n">
        <v>60600</v>
      </c>
      <c r="F8" s="55" t="inlineStr">
        <is>
          <t>🟡 High</t>
        </is>
      </c>
    </row>
    <row r="9" ht="22" customHeight="1">
      <c r="A9" s="15" t="n">
        <v>6</v>
      </c>
      <c r="B9" s="53" t="inlineStr">
        <is>
          <t>Ramesh bhai</t>
        </is>
      </c>
      <c r="C9" s="45" t="inlineStr"/>
      <c r="D9" s="46" t="inlineStr">
        <is>
          <t>General Supplier</t>
        </is>
      </c>
      <c r="E9" s="54" t="n">
        <v>44475</v>
      </c>
      <c r="F9" s="55" t="inlineStr">
        <is>
          <t>🟡 High</t>
        </is>
      </c>
    </row>
    <row r="10" ht="22" customHeight="1">
      <c r="A10" s="9" t="n">
        <v>7</v>
      </c>
      <c r="B10" s="51" t="inlineStr">
        <is>
          <t>Sanubhai mumbai</t>
        </is>
      </c>
      <c r="C10" s="41" t="inlineStr"/>
      <c r="D10" s="42" t="inlineStr">
        <is>
          <t>Mumbai Supplier</t>
        </is>
      </c>
      <c r="E10" s="52" t="n">
        <v>34460</v>
      </c>
      <c r="F10" s="55" t="inlineStr">
        <is>
          <t>🟡 High</t>
        </is>
      </c>
    </row>
    <row r="11" ht="22" customHeight="1">
      <c r="A11" s="15" t="n">
        <v>8</v>
      </c>
      <c r="B11" s="53" t="inlineStr">
        <is>
          <t>Shahin footware</t>
        </is>
      </c>
      <c r="C11" s="45" t="inlineStr"/>
      <c r="D11" s="46" t="inlineStr">
        <is>
          <t>Footwear Supplier</t>
        </is>
      </c>
      <c r="E11" s="54" t="n">
        <v>23500</v>
      </c>
      <c r="F11" s="47" t="inlineStr">
        <is>
          <t>🟢 Normal</t>
        </is>
      </c>
    </row>
    <row r="12" ht="22" customHeight="1">
      <c r="A12" s="9" t="n">
        <v>9</v>
      </c>
      <c r="B12" s="51" t="inlineStr">
        <is>
          <t>Woodland Kapoor</t>
        </is>
      </c>
      <c r="C12" s="41" t="inlineStr"/>
      <c r="D12" s="42" t="inlineStr">
        <is>
          <t>Footwear Supplier</t>
        </is>
      </c>
      <c r="E12" s="52" t="n">
        <v>21080</v>
      </c>
      <c r="F12" s="47" t="inlineStr">
        <is>
          <t>🟢 Normal</t>
        </is>
      </c>
    </row>
    <row r="13" ht="22" customHeight="1">
      <c r="A13" s="15" t="n">
        <v>10</v>
      </c>
      <c r="B13" s="53" t="inlineStr">
        <is>
          <t>L D DELHI</t>
        </is>
      </c>
      <c r="C13" s="45" t="inlineStr"/>
      <c r="D13" s="46" t="inlineStr">
        <is>
          <t>Delhi Supplier</t>
        </is>
      </c>
      <c r="E13" s="54" t="n">
        <v>12400</v>
      </c>
      <c r="F13" s="47" t="inlineStr">
        <is>
          <t>🟢 Normal</t>
        </is>
      </c>
    </row>
    <row r="14" ht="22" customHeight="1">
      <c r="A14" s="9" t="n">
        <v>11</v>
      </c>
      <c r="B14" s="51" t="inlineStr">
        <is>
          <t>Raju bhai kanpoor</t>
        </is>
      </c>
      <c r="C14" s="41" t="inlineStr"/>
      <c r="D14" s="42" t="inlineStr">
        <is>
          <t>Kanpur Supplier</t>
        </is>
      </c>
      <c r="E14" s="52" t="n">
        <v>10000</v>
      </c>
      <c r="F14" s="47" t="inlineStr">
        <is>
          <t>🟢 Normal</t>
        </is>
      </c>
    </row>
    <row r="15" ht="24" customHeight="1">
      <c r="A15" s="56" t="inlineStr">
        <is>
          <t>TOTAL PAYABLE</t>
        </is>
      </c>
      <c r="B15" s="61" t="n"/>
      <c r="C15" s="61" t="n"/>
      <c r="D15" s="59" t="n"/>
      <c r="E15" s="57">
        <f>SUM(E4:E14)</f>
        <v/>
      </c>
    </row>
  </sheetData>
  <mergeCells count="3">
    <mergeCell ref="A2:F2"/>
    <mergeCell ref="A1:F1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</cols>
  <sheetData>
    <row r="1" ht="50" customHeight="1">
      <c r="A1" s="62" t="inlineStr">
        <is>
          <t>INFINITY COLLECTION — Financial Summary Dashboard</t>
        </is>
      </c>
    </row>
    <row r="3" ht="22" customHeight="1">
      <c r="A3" s="63" t="inlineStr">
        <is>
          <t>💰 REVENUE SUMMARY — 2024 vs 2025</t>
        </is>
      </c>
    </row>
    <row r="4">
      <c r="A4" s="64" t="inlineStr">
        <is>
          <t>Metric</t>
        </is>
      </c>
      <c r="B4" s="64" t="inlineStr">
        <is>
          <t>2024 (₹)</t>
        </is>
      </c>
      <c r="C4" s="64" t="inlineStr">
        <is>
          <t>2025 (₹)</t>
        </is>
      </c>
      <c r="D4" s="64" t="inlineStr">
        <is>
          <t>Change (₹)</t>
        </is>
      </c>
      <c r="E4" s="64" t="inlineStr">
        <is>
          <t>Change %</t>
        </is>
      </c>
      <c r="F4" s="64" t="inlineStr">
        <is>
          <t>Status</t>
        </is>
      </c>
      <c r="G4" s="64" t="inlineStr">
        <is>
          <t>Note</t>
        </is>
      </c>
    </row>
    <row r="5" ht="20" customHeight="1">
      <c r="A5" s="65" t="inlineStr">
        <is>
          <t>Total Collection</t>
        </is>
      </c>
      <c r="B5" s="66" t="n">
        <v>14240854</v>
      </c>
      <c r="C5" s="66" t="n">
        <v>8625664</v>
      </c>
      <c r="D5" s="67" t="n">
        <v>-5615190</v>
      </c>
      <c r="E5" s="68" t="n">
        <v>-0.3943014934357167</v>
      </c>
      <c r="F5" s="69" t="inlineStr">
        <is>
          <t>📉 Drop</t>
        </is>
      </c>
      <c r="G5" s="69" t="inlineStr">
        <is>
          <t>Collection (from market)</t>
        </is>
      </c>
    </row>
    <row r="6" ht="20" customHeight="1">
      <c r="A6" s="70" t="inlineStr">
        <is>
          <t>Total Sell</t>
        </is>
      </c>
      <c r="B6" s="71" t="n">
        <v>14405378</v>
      </c>
      <c r="C6" s="71" t="n">
        <v>8730875</v>
      </c>
      <c r="D6" s="72" t="n">
        <v>-5674503</v>
      </c>
      <c r="E6" s="73" t="n">
        <v>-0.3939155918018951</v>
      </c>
      <c r="F6" s="74" t="inlineStr">
        <is>
          <t>📉 Drop</t>
        </is>
      </c>
      <c r="G6" s="74" t="inlineStr">
        <is>
          <t>Sell (to market)</t>
        </is>
      </c>
    </row>
    <row r="7" ht="20" customHeight="1">
      <c r="A7" s="65" t="inlineStr">
        <is>
          <t>Net Diff (Sell−Coll)</t>
        </is>
      </c>
      <c r="B7" s="66" t="n">
        <v>164524</v>
      </c>
      <c r="C7" s="66" t="n">
        <v>105211</v>
      </c>
      <c r="D7" s="67" t="n">
        <v>-59313</v>
      </c>
      <c r="E7" s="68" t="n">
        <v>-0.3605127519389268</v>
      </c>
      <c r="F7" s="69" t="inlineStr">
        <is>
          <t>📉 Drop</t>
        </is>
      </c>
      <c r="G7" s="69" t="inlineStr">
        <is>
          <t>Profit indicator</t>
        </is>
      </c>
    </row>
    <row r="8" ht="20" customHeight="1">
      <c r="A8" s="70" t="inlineStr">
        <is>
          <t>Monthly Avg Collection</t>
        </is>
      </c>
      <c r="B8" s="71" t="n">
        <v>1186737</v>
      </c>
      <c r="C8" s="71" t="n">
        <v>718805</v>
      </c>
      <c r="D8" s="72" t="n">
        <v>-467932</v>
      </c>
      <c r="E8" s="73" t="n">
        <v>-0.3943013489930793</v>
      </c>
      <c r="F8" s="74" t="inlineStr">
        <is>
          <t>📉 Drop</t>
        </is>
      </c>
      <c r="G8" s="74" t="inlineStr">
        <is>
          <t>Per month average</t>
        </is>
      </c>
    </row>
    <row r="9" ht="20" customHeight="1">
      <c r="A9" s="65" t="inlineStr">
        <is>
          <t>Monthly Avg Sell</t>
        </is>
      </c>
      <c r="B9" s="66" t="n">
        <v>1200448</v>
      </c>
      <c r="C9" s="66" t="n">
        <v>727572</v>
      </c>
      <c r="D9" s="67" t="n">
        <v>-472876</v>
      </c>
      <c r="E9" s="68" t="n">
        <v>-0.3939162712587301</v>
      </c>
      <c r="F9" s="69" t="inlineStr">
        <is>
          <t>📉 Drop</t>
        </is>
      </c>
      <c r="G9" s="69" t="inlineStr">
        <is>
          <t>Per month average</t>
        </is>
      </c>
    </row>
    <row r="11" ht="22" customHeight="1">
      <c r="A11" s="63" t="inlineStr">
        <is>
          <t>📦 OUTSTANDING BALANCES</t>
        </is>
      </c>
    </row>
    <row r="13" ht="22" customHeight="1">
      <c r="A13" s="70" t="inlineStr">
        <is>
          <t>Total Customer Receivable</t>
        </is>
      </c>
      <c r="B13" s="75" t="n">
        <v>983271</v>
      </c>
      <c r="C13" s="76" t="inlineStr"/>
      <c r="D13" s="76" t="inlineStr"/>
      <c r="E13" s="76" t="inlineStr"/>
      <c r="F13" s="76" t="inlineStr"/>
      <c r="G13" s="76" t="inlineStr">
        <is>
          <t>Amount pending from 47+ customers</t>
        </is>
      </c>
    </row>
    <row r="14" ht="22" customHeight="1">
      <c r="A14" s="65" t="inlineStr">
        <is>
          <t>Total Supplier Payable</t>
        </is>
      </c>
      <c r="B14" s="77" t="n">
        <v>744115</v>
      </c>
      <c r="C14" s="78" t="inlineStr"/>
      <c r="D14" s="78" t="inlineStr"/>
      <c r="E14" s="78" t="inlineStr"/>
      <c r="F14" s="78" t="inlineStr"/>
      <c r="G14" s="78" t="inlineStr">
        <is>
          <t>Amount due to 11 suppliers</t>
        </is>
      </c>
    </row>
    <row r="15" ht="22" customHeight="1">
      <c r="A15" s="70" t="inlineStr">
        <is>
          <t>Net Working Capital</t>
        </is>
      </c>
      <c r="B15" s="75" t="n">
        <v>239156</v>
      </c>
      <c r="C15" s="76" t="inlineStr"/>
      <c r="D15" s="76" t="inlineStr"/>
      <c r="E15" s="76" t="inlineStr"/>
      <c r="F15" s="76" t="inlineStr"/>
      <c r="G15" s="76" t="inlineStr">
        <is>
          <t>Receivable − Payable = Net</t>
        </is>
      </c>
    </row>
    <row r="16" ht="22" customHeight="1">
      <c r="A16" s="63" t="inlineStr">
        <is>
          <t>📈 BUSINESS TIMELINE — Infinity Collection Journey</t>
        </is>
      </c>
    </row>
    <row r="17" ht="22" customHeight="1">
      <c r="A17" s="64" t="inlineStr">
        <is>
          <t>Phase</t>
        </is>
      </c>
      <c r="B17" s="64" t="inlineStr">
        <is>
          <t>Period</t>
        </is>
      </c>
      <c r="C17" s="64" t="inlineStr">
        <is>
          <t>Status</t>
        </is>
      </c>
      <c r="D17" s="64" t="inlineStr">
        <is>
          <t>Key Event/Milestone</t>
        </is>
      </c>
      <c r="E17" s="64" t="inlineStr"/>
      <c r="F17" s="64" t="inlineStr"/>
      <c r="G17" s="64" t="inlineStr"/>
    </row>
    <row r="18" ht="22" customHeight="1">
      <c r="A18" s="5" t="inlineStr">
        <is>
          <t>🚀 Launch</t>
        </is>
      </c>
      <c r="B18" s="5" t="inlineStr">
        <is>
          <t>Aug 2021</t>
        </is>
      </c>
      <c r="C18" s="5" t="inlineStr">
        <is>
          <t>✅ Started</t>
        </is>
      </c>
      <c r="D18" s="5" t="inlineStr">
        <is>
          <t>Business founded in Shirdi. Initial B2B supply to 3 shops</t>
        </is>
      </c>
      <c r="E18" s="5" t="inlineStr"/>
      <c r="F18" s="5" t="inlineStr"/>
      <c r="G18" s="5" t="inlineStr"/>
    </row>
    <row r="19" ht="22" customHeight="1">
      <c r="A19" s="79" t="inlineStr">
        <is>
          <t>📈 Growth</t>
        </is>
      </c>
      <c r="B19" s="79" t="inlineStr">
        <is>
          <t>2022–2023</t>
        </is>
      </c>
      <c r="C19" s="79" t="inlineStr">
        <is>
          <t>📈 Growing</t>
        </is>
      </c>
      <c r="D19" s="79" t="inlineStr">
        <is>
          <t>Expanded to 50+ shops. Revenue climbing steadily</t>
        </is>
      </c>
      <c r="E19" s="79" t="inlineStr"/>
      <c r="F19" s="79" t="inlineStr"/>
      <c r="G19" s="79" t="inlineStr"/>
    </row>
    <row r="20" ht="22" customHeight="1">
      <c r="A20" s="5" t="inlineStr">
        <is>
          <t>🏆 Peak</t>
        </is>
      </c>
      <c r="B20" s="5" t="inlineStr">
        <is>
          <t>2023–Nov 2024</t>
        </is>
      </c>
      <c r="C20" s="5" t="inlineStr">
        <is>
          <t>🏆 Peak</t>
        </is>
      </c>
      <c r="D20" s="5" t="inlineStr">
        <is>
          <t>150+ shops. ₹1.5 Cr annual turnover achieved</t>
        </is>
      </c>
      <c r="E20" s="5" t="inlineStr"/>
      <c r="F20" s="5" t="inlineStr"/>
      <c r="G20" s="5" t="inlineStr"/>
    </row>
    <row r="21" ht="22" customHeight="1">
      <c r="A21" s="79" t="inlineStr">
        <is>
          <t>⚠️ Transition</t>
        </is>
      </c>
      <c r="B21" s="79" t="inlineStr">
        <is>
          <t>Dec 2024</t>
        </is>
      </c>
      <c r="C21" s="79" t="inlineStr">
        <is>
          <t>⚠️ Setback</t>
        </is>
      </c>
      <c r="D21" s="79" t="inlineStr">
        <is>
          <t>Owner's serious road accident. Father managed operations</t>
        </is>
      </c>
      <c r="E21" s="79" t="inlineStr"/>
      <c r="F21" s="79" t="inlineStr"/>
      <c r="G21" s="79" t="inlineStr"/>
    </row>
    <row r="22" ht="22" customHeight="1">
      <c r="A22" s="5" t="inlineStr">
        <is>
          <t>🔄 Recovery</t>
        </is>
      </c>
      <c r="B22" s="5" t="inlineStr">
        <is>
          <t>Jan–Jun 2025</t>
        </is>
      </c>
      <c r="C22" s="5" t="inlineStr">
        <is>
          <t>🔄 Partial</t>
        </is>
      </c>
      <c r="D22" s="5" t="inlineStr">
        <is>
          <t>Business running at 60% capacity under father's management</t>
        </is>
      </c>
      <c r="E22" s="5" t="inlineStr"/>
      <c r="F22" s="5" t="inlineStr"/>
      <c r="G22" s="5" t="inlineStr"/>
    </row>
    <row r="23" ht="22" customHeight="1">
      <c r="A23" s="79" t="inlineStr">
        <is>
          <t>🎯 Re-entry</t>
        </is>
      </c>
      <c r="B23" s="79" t="inlineStr">
        <is>
          <t>Jul 2025 →</t>
        </is>
      </c>
      <c r="C23" s="79" t="inlineStr">
        <is>
          <t>🎯 Target</t>
        </is>
      </c>
      <c r="D23" s="79" t="inlineStr">
        <is>
          <t>Owner returning. Career shift to Data Analytics/Engineering</t>
        </is>
      </c>
      <c r="E23" s="79" t="inlineStr"/>
      <c r="F23" s="79" t="inlineStr"/>
      <c r="G23" s="79" t="inlineStr"/>
    </row>
  </sheetData>
  <mergeCells count="4">
    <mergeCell ref="A3:G3"/>
    <mergeCell ref="A11:G11"/>
    <mergeCell ref="A1:G1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2026-05-01T11:11:55Z</dcterms:created>
  <dcterms:modified xmlns:dcterms="http://purl.org/dc/terms/" xmlns:xsi="http://www.w3.org/2001/XMLSchema-instance" xsi:type="dcterms:W3CDTF">2026-05-01T11:12:26Z</dcterms:modified>
</cp:coreProperties>
</file>